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20bdab905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" sheetId="1" r:id="Raef5e3870043408e"/>
    <x:sheet xmlns:r="http://schemas.openxmlformats.org/officeDocument/2006/relationships" name="Detalle 30%" sheetId="2" r:id="R0b2e33a2b6814830"/>
    <x:sheet xmlns:r="http://schemas.openxmlformats.org/officeDocument/2006/relationships" name="Tareas" sheetId="3" r:id="R4e991108687e477b"/>
    <x:sheet xmlns:r="http://schemas.openxmlformats.org/officeDocument/2006/relationships" name="Entregas y equipo" sheetId="4" r:id="Rf27accabac334132"/>
  </x:sheets>
</x:workbook>
</file>

<file path=xl/sharedStrings.xml><?xml version="1.0" encoding="utf-8"?>
<x:sst xmlns:x="http://schemas.openxmlformats.org/spreadsheetml/2006/main">
  <x:si>
    <x:t xml:space="preserve">SmartStorage — Diagrama de Gantt</x:t>
  </x:si>
  <x:si>
    <x:t xml:space="preserve">Agosto–noviembre de 2026. Cada columna representa una semana que inicia el lunes; las barras muestran fechas planificadas.</x:t>
  </x:si>
  <x:si>
    <x:t xml:space="preserve">Azul: propuesta y diseño. Verde: avances funcionales. Naranja: cierre. H: semana de entrega. Editar fechas en Tareas.</x:t>
  </x:si>
  <x:si>
    <x:t xml:space="preserve">Los alcances de 50%, 80% y cierre son una propuesta. La fecha final del 06/11 queda pendiente de confirmación.</x:t>
  </x:si>
  <x:si>
    <x:t xml:space="preserve">ID / hito</x:t>
  </x:si>
  <x:si>
    <x:t xml:space="preserve">Actividad</x:t>
  </x:si>
  <x:si>
    <x:t xml:space="preserve">Responsable</x:t>
  </x:si>
  <x:si>
    <x:t xml:space="preserve">Inicio</x:t>
  </x:si>
  <x:si>
    <x:t xml:space="preserve">Fin</x:t>
  </x:si>
  <x:si>
    <x:t xml:space="preserve">Estado reportado</x:t>
  </x:si>
  <x:si>
    <x:t xml:space="preserve">S0-01</x:t>
  </x:si>
  <x:si>
    <x:t xml:space="preserve">Confirmado</x:t>
  </x:si>
  <x:si>
    <x:t xml:space="preserve">S0-02</x:t>
  </x:si>
  <x:si>
    <x:t xml:space="preserve">S0-03</x:t>
  </x:si>
  <x:si>
    <x:t xml:space="preserve">S0-04</x:t>
  </x:si>
  <x:si>
    <x:t xml:space="preserve">S1-01</x:t>
  </x:si>
  <x:si>
    <x:t xml:space="preserve">S1-02</x:t>
  </x:si>
  <x:si>
    <x:t xml:space="preserve">S1-03</x:t>
  </x:si>
  <x:si>
    <x:t xml:space="preserve">S1-04</x:t>
  </x:si>
  <x:si>
    <x:t xml:space="preserve">S1-05</x:t>
  </x:si>
  <x:si>
    <x:t xml:space="preserve">S1-06</x:t>
  </x:si>
  <x:si>
    <x:t xml:space="preserve">S2-01</x:t>
  </x:si>
  <x:si>
    <x:t xml:space="preserve">S2-02</x:t>
  </x:si>
  <x:si>
    <x:t xml:space="preserve">S2-03</x:t>
  </x:si>
  <x:si>
    <x:t xml:space="preserve">S2-04</x:t>
  </x:si>
  <x:si>
    <x:t xml:space="preserve">S2-05</x:t>
  </x:si>
  <x:si>
    <x:t xml:space="preserve">S2-06</x:t>
  </x:si>
  <x:si>
    <x:t xml:space="preserve">S2-07</x:t>
  </x:si>
  <x:si>
    <x:t xml:space="preserve">S2-08</x:t>
  </x:si>
  <x:si>
    <x:t xml:space="preserve">S2-09</x:t>
  </x:si>
  <x:si>
    <x:t xml:space="preserve">S2-10</x:t>
  </x:si>
  <x:si>
    <x:t xml:space="preserve">S2-11</x:t>
  </x:si>
  <x:si>
    <x:t xml:space="preserve">S2-12</x:t>
  </x:si>
  <x:si>
    <x:t xml:space="preserve">S2-13</x:t>
  </x:si>
  <x:si>
    <x:t xml:space="preserve">S2-14</x:t>
  </x:si>
  <x:si>
    <x:t xml:space="preserve">S2-15</x:t>
  </x:si>
  <x:si>
    <x:t xml:space="preserve">S2-16</x:t>
  </x:si>
  <x:si>
    <x:t xml:space="preserve">S3-01</x:t>
  </x:si>
  <x:si>
    <x:t xml:space="preserve">S3-02</x:t>
  </x:si>
  <x:si>
    <x:t xml:space="preserve">S3-03</x:t>
  </x:si>
  <x:si>
    <x:t xml:space="preserve">S3-04</x:t>
  </x:si>
  <x:si>
    <x:t xml:space="preserve">S3-05</x:t>
  </x:si>
  <x:si>
    <x:t xml:space="preserve">S3-06</x:t>
  </x:si>
  <x:si>
    <x:t xml:space="preserve">S3-07</x:t>
  </x:si>
  <x:si>
    <x:t xml:space="preserve">S3-08</x:t>
  </x:si>
  <x:si>
    <x:t xml:space="preserve">S3-09</x:t>
  </x:si>
  <x:si>
    <x:t xml:space="preserve">S3-10</x:t>
  </x:si>
  <x:si>
    <x:t xml:space="preserve">S3-11</x:t>
  </x:si>
  <x:si>
    <x:t xml:space="preserve">S3-12</x:t>
  </x:si>
  <x:si>
    <x:t xml:space="preserve">S4-01</x:t>
  </x:si>
  <x:si>
    <x:t xml:space="preserve">S4-02</x:t>
  </x:si>
  <x:si>
    <x:t xml:space="preserve">S4-03</x:t>
  </x:si>
  <x:si>
    <x:t xml:space="preserve">S4-04</x:t>
  </x:si>
  <x:si>
    <x:t xml:space="preserve">S4-05</x:t>
  </x:si>
  <x:si>
    <x:t xml:space="preserve">S4-06</x:t>
  </x:si>
  <x:si>
    <x:t xml:space="preserve">S4-07</x:t>
  </x:si>
  <x:si>
    <x:t xml:space="preserve">S4-08</x:t>
  </x:si>
  <x:si>
    <x:t xml:space="preserve">S4-09</x:t>
  </x:si>
  <x:si>
    <x:t xml:space="preserve">S4-10</x:t>
  </x:si>
  <x:si>
    <x:t xml:space="preserve">S5-01</x:t>
  </x:si>
  <x:si>
    <x:t xml:space="preserve">S5-02</x:t>
  </x:si>
  <x:si>
    <x:t xml:space="preserve">S5-03</x:t>
  </x:si>
  <x:si>
    <x:t xml:space="preserve">S5-04</x:t>
  </x:si>
  <x:si>
    <x:t xml:space="preserve">S5-05</x:t>
  </x:si>
  <x:si>
    <x:t xml:space="preserve">S5-06</x:t>
  </x:si>
  <x:si>
    <x:t xml:space="preserve">S5-07</x:t>
  </x:si>
  <x:si>
    <x:t xml:space="preserve">S5-08</x:t>
  </x:si>
  <x:si>
    <x:t xml:space="preserve">SmartStorage — Cierre del avance del 30%</x:t>
  </x:si>
  <x:si>
    <x:t xml:space="preserve">ID</x:t>
  </x:si>
  <x:si>
    <x:t xml:space="preserve">SmartStorage — Plan detallado de tareas</x:t>
  </x:si>
  <x:si>
    <x:t xml:space="preserve">Fechas internas propuestas. Días calendario inclusivos; no representan horas ni dedicación exclusiva.</x:t>
  </x:si>
  <x:si>
    <x:t xml:space="preserve">Ámbar: campos de seguimiento editables. Dependencias en la misma fecha requieren ejecución secuencial durante ese día.</x:t>
  </x:si>
  <x:si>
    <x:t xml:space="preserve">Hito</x:t>
  </x:si>
  <x:si>
    <x:t xml:space="preserve">Área</x:t>
  </x:si>
  <x:si>
    <x:t xml:space="preserve">Apoyo / coordinación</x:t>
  </x:si>
  <x:si>
    <x:t xml:space="preserve">Inicio propuesto</x:t>
  </x:si>
  <x:si>
    <x:t xml:space="preserve">Fin propuesto</x:t>
  </x:si>
  <x:si>
    <x:t xml:space="preserve">Días calendario</x:t>
  </x:si>
  <x:si>
    <x:t xml:space="preserve">Predecesoras</x:t>
  </x:si>
  <x:si>
    <x:t xml:space="preserve">Criterio de aceptación</x:t>
  </x:si>
  <x:si>
    <x:t xml:space="preserve">Evidencia / PR</x:t>
  </x:si>
  <x:si>
    <x:t xml:space="preserve">Fin de predecesoras</x:t>
  </x:si>
  <x:si>
    <x:t xml:space="preserve">Margen mínimo (d)</x:t>
  </x:si>
  <x:si>
    <x:t xml:space="preserve">Fuente</x:t>
  </x:si>
  <x:si>
    <x:t xml:space="preserve">S0</x:t>
  </x:si>
  <x:si>
    <x:t xml:space="preserve">Coordinación</x:t>
  </x:si>
  <x:si>
    <x:t xml:space="preserve">Definir equipo y organización</x:t>
  </x:si>
  <x:si>
    <x:t xml:space="preserve">Equipo</x:t>
  </x:si>
  <x:si>
    <x:t xml:space="preserve">Todos</x:t>
  </x:si>
  <x:si>
    <x:t xml:space="preserve">—</x:t>
  </x:si>
  <x:si>
    <x:t xml:space="preserve">Hecha</x:t>
  </x:si>
  <x:si>
    <x:t xml:space="preserve">Integrantes y responsabilidades documentados.</x:t>
  </x:si>
  <x:si>
    <x:t xml:space="preserve">F1</x:t>
  </x:si>
  <x:si>
    <x:t xml:space="preserve">Propuesta</x:t>
  </x:si>
  <x:si>
    <x:t xml:space="preserve">Definir problema, solución y alcance</x:t>
  </x:si>
  <x:si>
    <x:t xml:space="preserve">Propuesta Storage as a Service y alcance redactados.</x:t>
  </x:si>
  <x:si>
    <x:t xml:space="preserve">Planificación</x:t>
  </x:si>
  <x:si>
    <x:t xml:space="preserve">Preparar metodología y cronograma</x:t>
  </x:si>
  <x:si>
    <x:t xml:space="preserve">Base verificada</x:t>
  </x:si>
  <x:si>
    <x:t xml:space="preserve">Scrum ligero, tablero Kanban e hitos acordados.</x:t>
  </x:si>
  <x:si>
    <x:t xml:space="preserve">Entrega</x:t>
  </x:si>
  <x:si>
    <x:t xml:space="preserve">Revisar y entregar propuesta</x:t>
  </x:si>
  <x:si>
    <x:t xml:space="preserve">S0-02, S0-03</x:t>
  </x:si>
  <x:si>
    <x:t xml:space="preserve">Documento revisado y constancia de entrega disponible.</x:t>
  </x:si>
  <x:si>
    <x:t xml:space="preserve">S1</x:t>
  </x:si>
  <x:si>
    <x:t xml:space="preserve">Requisitos</x:t>
  </x:si>
  <x:si>
    <x:t xml:space="preserve">Detallar requisitos de usuarios</x:t>
  </x:si>
  <x:si>
    <x:t xml:space="preserve">Andy</x:t>
  </x:si>
  <x:si>
    <x:t xml:space="preserve">Diego</x:t>
  </x:si>
  <x:si>
    <x:t xml:space="preserve">Registro, acceso, verificación, recuperación y roles descritos.</x:t>
  </x:si>
  <x:si>
    <x:t xml:space="preserve">F1 + P1</x:t>
  </x:si>
  <x:si>
    <x:t xml:space="preserve">Detallar requisitos de Storage</x:t>
  </x:si>
  <x:si>
    <x:t xml:space="preserve">Geovanny</x:t>
  </x:si>
  <x:si>
    <x:t xml:space="preserve">Carga, formatos, deduplicación y permisos definidos.</x:t>
  </x:si>
  <x:si>
    <x:t xml:space="preserve">Detallar planes y pagos simulados</x:t>
  </x:si>
  <x:si>
    <x:t xml:space="preserve">Elden</x:t>
  </x:si>
  <x:si>
    <x:t xml:space="preserve">Por confirmar</x:t>
  </x:si>
  <x:si>
    <x:t xml:space="preserve">Catálogo, capacidades, suscripciones e historial especificados.</x:t>
  </x:si>
  <x:si>
    <x:t xml:space="preserve">Diseño</x:t>
  </x:si>
  <x:si>
    <x:t xml:space="preserve">Diseñar pantallas y navegación</x:t>
  </x:si>
  <x:si>
    <x:t xml:space="preserve">Mockups de acceso, biblioteca y planes revisados.</x:t>
  </x:si>
  <x:si>
    <x:t xml:space="preserve">Consolidar modelo de datos y arquitectura</x:t>
  </x:si>
  <x:si>
    <x:t xml:space="preserve">S1-01, S1-02, S1-03</x:t>
  </x:si>
  <x:si>
    <x:t xml:space="preserve">Modelo relacional y arquitectura por capas consistentes.</x:t>
  </x:si>
  <x:si>
    <x:t xml:space="preserve">Revisar requisitos y diseño preliminar</x:t>
  </x:si>
  <x:si>
    <x:t xml:space="preserve">S1-04, S1-05</x:t>
  </x:si>
  <x:si>
    <x:t xml:space="preserve">Documento y diagramas revisados. Adjuntar constancia de entrega.</x:t>
  </x:si>
  <x:si>
    <x:t xml:space="preserve">S2</x:t>
  </x:si>
  <x:si>
    <x:t xml:space="preserve">Base técnica</x:t>
  </x:si>
  <x:si>
    <x:t xml:space="preserve">Preparar esqueleto y esquema inicial</x:t>
  </x:si>
  <x:si>
    <x:t xml:space="preserve">React, API, migraciones y catálogo Free ejecutables. No demuestra el 30% funcional.</x:t>
  </x:si>
  <x:si>
    <x:t xml:space="preserve">Autenticación</x:t>
  </x:si>
  <x:si>
    <x:t xml:space="preserve">Implementar registro y hash seguro</x:t>
  </x:si>
  <x:si>
    <x:t xml:space="preserve">Validar datos y correo único. Guardar hash seguro. El registro público crea solo clientes.</x:t>
  </x:si>
  <x:si>
    <x:t xml:space="preserve">Implementar login, JWT y protección</x:t>
  </x:si>
  <x:si>
    <x:t xml:space="preserve">Rechazar credenciales inválidas, JWT inválido/expirado y cuentas inactivas. Proteger /auth/me.</x:t>
  </x:si>
  <x:si>
    <x:t xml:space="preserve">Suscripciones</x:t>
  </x:si>
  <x:si>
    <x:t xml:space="preserve">Revisar catálogo y contrato de Free</x:t>
  </x:si>
  <x:si>
    <x:t xml:space="preserve">Free: 2 GB lógicos, 10 subidas y 200 MB diarios. Catálogo leído desde PostgreSQL.</x:t>
  </x:si>
  <x:si>
    <x:t xml:space="preserve">Asignar Free al registrar</x:t>
  </x:si>
  <x:si>
    <x:t xml:space="preserve">S2-02, S2-04</x:t>
  </x:si>
  <x:si>
    <x:t xml:space="preserve">Alta y asignación en una transacción. Una sola suscripción activa. Rollback ante error.</x:t>
  </x:si>
  <x:si>
    <x:t xml:space="preserve">Aplicar capacidad y límites diarios</x:t>
  </x:si>
  <x:si>
    <x:t xml:space="preserve">Bloquear al exceder 2 GB, 10 subidas o 200 MB diarios. Probar límites y concurrencia.</x:t>
  </x:si>
  <x:si>
    <x:t xml:space="preserve">Storage</x:t>
  </x:si>
  <x:si>
    <x:t xml:space="preserve">Validar archivo y calcular SHA-256</x:t>
  </x:si>
  <x:si>
    <x:t xml:space="preserve">Aceptar JPG/PNG/WebP válidos, máximo 25 MB. Hash de los bytes originales antes de convertir.</x:t>
  </x:si>
  <x:si>
    <x:t xml:space="preserve">Convertir a WebP y limpiar temporales</x:t>
  </x:si>
  <x:si>
    <x:t xml:space="preserve">Conservar solo WebP definitivo. Eliminar original temporal al terminar y limpiar al fallar.</x:t>
  </x:si>
  <x:si>
    <x:t xml:space="preserve">Integrar carga y deduplicación global</x:t>
  </x:si>
  <x:si>
    <x:t xml:space="preserve">Andy y Elden</x:t>
  </x:si>
  <x:si>
    <x:t xml:space="preserve">S2-03, S2-06, S2-08</x:t>
  </x:si>
  <x:si>
    <x:t xml:space="preserve">Dos cuentas con bytes idénticos referencian un único WebP. Conservar propiedad lógica y cuota.</x:t>
  </x:si>
  <x:si>
    <x:t xml:space="preserve">Proteger galería y descarga WebP</x:t>
  </x:si>
  <x:si>
    <x:t xml:space="preserve">Listar solo imágenes propias y negar acceso cruzado. Descargar WebP y conservar datos tras reinicio.</x:t>
  </x:si>
  <x:si>
    <x:t xml:space="preserve">Frontend</x:t>
  </x:si>
  <x:si>
    <x:t xml:space="preserve">Preparar formularios y estados de interfaz</x:t>
  </x:si>
  <x:si>
    <x:t xml:space="preserve">Pantallas de registro/login y estados de carga/error acordes al contrato, sin éxito ficticio.</x:t>
  </x:si>
  <x:si>
    <x:t xml:space="preserve">Conectar acceso, Free, carga y galería</x:t>
  </x:si>
  <x:si>
    <x:t xml:space="preserve">S2-03, S2-05, S2-11</x:t>
  </x:si>
  <x:si>
    <x:t xml:space="preserve">Registro → login → carga → galería → descarga con API real. Mensajes claros en errores.</x:t>
  </x:si>
  <x:si>
    <x:t xml:space="preserve">Administrador</x:t>
  </x:si>
  <x:si>
    <x:t xml:space="preserve">Calcular ahorro básico del administrador</x:t>
  </x:si>
  <x:si>
    <x:t xml:space="preserve">Solo admin: B−P y porcentaje con originales lógicos y bytes WebP reales. Biblioteca vacía y archivo faltante tratados.</x:t>
  </x:si>
  <x:si>
    <x:t xml:space="preserve">Documentación</x:t>
  </x:si>
  <x:si>
    <x:t xml:space="preserve">Actualizar requisitos y diagramas</x:t>
  </x:si>
  <x:si>
    <x:t xml:space="preserve">Cada responsable</x:t>
  </x:si>
  <x:si>
    <x:t xml:space="preserve">Alinear documentación: deduplicación global, solo WebP, ahorro administrativo y esquema incremental.</x:t>
  </x:si>
  <x:si>
    <x:t xml:space="preserve">Verificación</x:t>
  </x:si>
  <x:si>
    <x:t xml:space="preserve">Probar flujo del 30% con dos cuentas</x:t>
  </x:si>
  <x:si>
    <x:t xml:space="preserve">S2-10, S2-12, S2-13, S2-14</x:t>
  </x:si>
  <x:si>
    <x:t xml:space="preserve">Verificar identidad, Free/límites, carga duplicada, permisos, descarga, ahorro y reinicio. Registrar evidencia.</x:t>
  </x:si>
  <x:si>
    <x:t xml:space="preserve">Corregir, revisar PR y presentar 30%</x:t>
  </x:si>
  <x:si>
    <x:t xml:space="preserve">Corregir bloqueos, revisión por compañero, ejecución local, demo y constancia de entrega.</x:t>
  </x:si>
  <x:si>
    <x:t xml:space="preserve">S3</x:t>
  </x:si>
  <x:si>
    <x:t xml:space="preserve">Implementar verificación de correo</x:t>
  </x:si>
  <x:si>
    <x:t xml:space="preserve">Planificada</x:t>
  </x:si>
  <x:si>
    <x:t xml:space="preserve">Token de un uso, expiración, correo y estados de interfaz verificados.</x:t>
  </x:si>
  <x:si>
    <x:t xml:space="preserve">F1 + F3</x:t>
  </x:si>
  <x:si>
    <x:t xml:space="preserve">Recuperar y cambiar contraseña</x:t>
  </x:si>
  <x:si>
    <x:t xml:space="preserve">Solicitud neutral, token único, contraseña segura y flujo de recuperación probado.</x:t>
  </x:si>
  <x:si>
    <x:t xml:space="preserve">F3 + F6</x:t>
  </x:si>
  <x:si>
    <x:t xml:space="preserve">Completar sesiones revocables y logout</x:t>
  </x:si>
  <x:si>
    <x:t xml:space="preserve">Revocar sesión en backend y limpiar cliente. Comprobar expiración y acceso después de logout.</x:t>
  </x:si>
  <x:si>
    <x:t xml:space="preserve">Implementar Redis, BullMQ y worker Sharp</x:t>
  </x:si>
  <x:si>
    <x:t xml:space="preserve">Procesamiento asíncrono real y estados persistentes de trabajo.</x:t>
  </x:si>
  <x:si>
    <x:t xml:space="preserve">F3</x:t>
  </x:si>
  <x:si>
    <x:t xml:space="preserve">Añadir reintentos y recuperación de trabajos</x:t>
  </x:si>
  <x:si>
    <x:t xml:space="preserve">Recuperar interrupciones, no duplicar objetos y limpiar temporales fallidos o expirados.</x:t>
  </x:si>
  <x:si>
    <x:t xml:space="preserve">F3 + F4</x:t>
  </x:si>
  <x:si>
    <x:t xml:space="preserve">Implementar borrado con referencias</x:t>
  </x:si>
  <x:si>
    <x:t xml:space="preserve">Borrar imagen lógica. Eliminar WebP solo al quitar la última referencia con coordinación transaccional.</x:t>
  </x:si>
  <x:si>
    <x:t xml:space="preserve">Crear álbumes y mover imágenes</x:t>
  </x:si>
  <x:si>
    <x:t xml:space="preserve">Crear carpetas y mover imágenes propias. Rechazar carpeta o imagen de otra cuenta.</x:t>
  </x:si>
  <x:si>
    <x:t xml:space="preserve">Integrar cuotas con trabajos asíncronos</x:t>
  </x:si>
  <x:si>
    <x:t xml:space="preserve">Mantener capacidad y límites consistentes con subidas concurrentes y trabajos fallidos.</x:t>
  </x:si>
  <x:si>
    <x:t xml:space="preserve">F3 + F4 + P1</x:t>
  </x:si>
  <x:si>
    <x:t xml:space="preserve">Integrar cuentas y estados del procesamiento</x:t>
  </x:si>
  <x:si>
    <x:t xml:space="preserve">Andy y Geovanny</x:t>
  </x:si>
  <x:si>
    <x:t xml:space="preserve">Integrar correo, recuperación, logout y estados reales de carga/procesamiento.</x:t>
  </x:si>
  <x:si>
    <x:t xml:space="preserve">F3 + P1</x:t>
  </x:si>
  <x:si>
    <x:t xml:space="preserve">Integrar álbumes y borrado</x:t>
  </x:si>
  <x:si>
    <x:t xml:space="preserve">S3-07, S3-09</x:t>
  </x:si>
  <x:si>
    <x:t xml:space="preserve">Organizar y borrar imágenes desde la interfaz con errores y confirmaciones claras.</x:t>
  </x:si>
  <x:si>
    <x:t xml:space="preserve">F1 + F3 + P1</x:t>
  </x:si>
  <x:si>
    <x:t xml:space="preserve">Revisar integración y regresión del 50%</x:t>
  </x:si>
  <x:si>
    <x:t xml:space="preserve">S3-03, S3-08, S3-10</x:t>
  </x:si>
  <x:si>
    <x:t xml:space="preserve">Demostrar seguridad de cuentas, worker/recuperación, borrado y álbumes sin romper el 30%.</x:t>
  </x:si>
  <x:si>
    <x:t xml:space="preserve">P1 + F8</x:t>
  </x:si>
  <x:si>
    <x:t xml:space="preserve">Corregir y presentar avance del 50%</x:t>
  </x:si>
  <x:si>
    <x:t xml:space="preserve">PR revisados, demo funcional y evidencias del avance.</x:t>
  </x:si>
  <x:si>
    <x:t xml:space="preserve">S4</x:t>
  </x:si>
  <x:si>
    <x:t xml:space="preserve">Confirmar planes pagados y precios</x:t>
  </x:si>
  <x:si>
    <x:t xml:space="preserve">Equipo acuerda capacidades, nombres y precios antes de precargar planes pagados.</x:t>
  </x:si>
  <x:si>
    <x:t xml:space="preserve">F4</x:t>
  </x:si>
  <x:si>
    <x:t xml:space="preserve">Implementar pagos simulados e historial</x:t>
  </x:si>
  <x:si>
    <x:t xml:space="preserve">Registrar resultado de pago simulado, suscripción e historial consistente.</x:t>
  </x:si>
  <x:si>
    <x:t xml:space="preserve">Implementar renovación y cambio de plan</x:t>
  </x:si>
  <x:si>
    <x:t xml:space="preserve">Definir vigencia, renovación y cambios. Evitar un plan incompatible con consumo sin regla acordada.</x:t>
  </x:si>
  <x:si>
    <x:t xml:space="preserve">Completar consultas administrativas</x:t>
  </x:si>
  <x:si>
    <x:t xml:space="preserve">Consultas autorizadas de objetos únicos, consumo y ahorro calculado, sin métricas redundantes persistidas.</x:t>
  </x:si>
  <x:si>
    <x:t xml:space="preserve">Seguridad</x:t>
  </x:si>
  <x:si>
    <x:t xml:space="preserve">Verificar roles y acceso a administración</x:t>
  </x:si>
  <x:si>
    <x:t xml:space="preserve">Cliente sin acceso a operaciones admin. Pruebas de acceso cruzado y sesiones revocadas.</x:t>
  </x:si>
  <x:si>
    <x:t xml:space="preserve">Integrar planes, pagos e historial</x:t>
  </x:si>
  <x:si>
    <x:t xml:space="preserve">Contratar, consultar historial, renovar y cambiar plan con datos reales y pagos simulados.</x:t>
  </x:si>
  <x:si>
    <x:t xml:space="preserve">Integrar panel de administrador</x:t>
  </x:si>
  <x:si>
    <x:t xml:space="preserve">S4-04, S4-05, S4-06</x:t>
  </x:si>
  <x:si>
    <x:t xml:space="preserve">Mostrar consumo y ahorro calculado con autorización y estados vacío/error.</x:t>
  </x:si>
  <x:si>
    <x:t xml:space="preserve">Probar cuotas y consumo al cambiar de plan</x:t>
  </x:si>
  <x:si>
    <x:t xml:space="preserve">No perder imágenes ni inconsistir la capacidad ante renovación o cambio de plan.</x:t>
  </x:si>
  <x:si>
    <x:t xml:space="preserve">F1 + F4 + P1</x:t>
  </x:si>
  <x:si>
    <x:t xml:space="preserve">Ejecutar regresión y revisión visual del 80%</x:t>
  </x:si>
  <x:si>
    <x:t xml:space="preserve">S4-05, S4-07, S4-08</x:t>
  </x:si>
  <x:si>
    <x:t xml:space="preserve">Recorrido completo, seguridad, pruebas de límites y revisión móvil/escritorio.</x:t>
  </x:si>
  <x:si>
    <x:t xml:space="preserve">P1 + F7 + F8</x:t>
  </x:si>
  <x:si>
    <x:t xml:space="preserve">Corregir y presentar avance del 80%</x:t>
  </x:si>
  <x:si>
    <x:t xml:space="preserve">Código integrado y revisado, demo y evidencia de la entrega.</x:t>
  </x:si>
  <x:si>
    <x:t xml:space="preserve">S5</x:t>
  </x:si>
  <x:si>
    <x:t xml:space="preserve">Cerrar documentación de usuarios y seguridad</x:t>
  </x:si>
  <x:si>
    <x:t xml:space="preserve">Requisitos, API y manual de acceso actualizados al comportamiento real.</x:t>
  </x:si>
  <x:si>
    <x:t xml:space="preserve">Documentar planes, pagos y reglas de negocio</x:t>
  </x:si>
  <x:si>
    <x:t xml:space="preserve">Catálogo final, pagos simulados, vigencias y cambios de plan documentados.</x:t>
  </x:si>
  <x:si>
    <x:t xml:space="preserve">Demo técnica</x:t>
  </x:si>
  <x:si>
    <x:t xml:space="preserve">Preparar demo SDK/API si se confirma alcance</x:t>
  </x:si>
  <x:si>
    <x:t xml:space="preserve">Confirmar inclusión. Si aplica, ejemplo autenticado de consulta/descarga por ID, sin acceso por hash.</x:t>
  </x:si>
  <x:si>
    <x:t xml:space="preserve">Pulir interfaz y preparar presentación</x:t>
  </x:si>
  <x:si>
    <x:t xml:space="preserve">Interfaz consistente, foco y móvil revisados. Diapositivas y recorrido de demo preparados.</x:t>
  </x:si>
  <x:si>
    <x:t xml:space="preserve">F1 + F7 + P1</x:t>
  </x:si>
  <x:si>
    <x:t xml:space="preserve">Ejecutar pruebas integrales y corregir defectos</x:t>
  </x:si>
  <x:si>
    <x:t xml:space="preserve">S5-01, S5-02, S5-03</x:t>
  </x:si>
  <x:si>
    <x:t xml:space="preserve">Verificar todos los recorridos, concurrencia, persistencia, reinicio y limpieza. Resolver bloqueos.</x:t>
  </x:si>
  <x:si>
    <x:t xml:space="preserve">F1 + F8 + P1</x:t>
  </x:si>
  <x:si>
    <x:t xml:space="preserve">Preparación</x:t>
  </x:si>
  <x:si>
    <x:t xml:space="preserve">Preparar entorno reproducible de demostración</x:t>
  </x:si>
  <x:si>
    <x:t xml:space="preserve">Instalación desde README, migraciones y servicios reproducibles. Datos de demo sin secretos en Git.</x:t>
  </x:si>
  <x:si>
    <x:t xml:space="preserve">F2 + F8 + P1</x:t>
  </x:si>
  <x:si>
    <x:t xml:space="preserve">Exposición</x:t>
  </x:si>
  <x:si>
    <x:t xml:space="preserve">Ensayar exposición y cerrar paquete final</x:t>
  </x:si>
  <x:si>
    <x:t xml:space="preserve">S5-04, S5-06</x:t>
  </x:si>
  <x:si>
    <x:t xml:space="preserve">Cada integrante presenta su módulo. Revisar tiempos, evidencias, documentos y demo de respaldo.</x:t>
  </x:si>
  <x:si>
    <x:t xml:space="preserve">Entregar y exponer proyecto final</x:t>
  </x:si>
  <x:si>
    <x:t xml:space="preserve">Entrega final y exposición según fecha confirmada por el curso. 06/11 es tentativo.</x:t>
  </x:si>
  <x:si>
    <x:t xml:space="preserve">F1 + F9</x:t>
  </x:si>
  <x:si>
    <x:t xml:space="preserve">SmartStorage — Entregas y equipo</x:t>
  </x:si>
  <x:si>
    <x:t xml:space="preserve">Fecha de revisión:</x:t>
  </x:si>
  <x:si>
    <x:t xml:space="preserve">30%, 50% y 80% son metas de entrega; no son porcentajes medidos de implementación.</x:t>
  </x:si>
  <x:si>
    <x:t xml:space="preserve">06/11/2026 es tentativo. El documento fija únicamente la primera semana de noviembre.</x:t>
  </x:si>
  <x:si>
    <x:t xml:space="preserve">Inicio de sprint</x:t>
  </x:si>
  <x:si>
    <x:t xml:space="preserve">Fecha límite</x:t>
  </x:si>
  <x:si>
    <x:t xml:space="preserve">Meta acumulada</x:t>
  </x:si>
  <x:si>
    <x:t xml:space="preserve">Alcance de la entrega</x:t>
  </x:si>
  <x:si>
    <x:t xml:space="preserve">Origen de la fecha</x:t>
  </x:si>
  <x:si>
    <x:t xml:space="preserve">Tareas del plan</x:t>
  </x:si>
  <x:si>
    <x:t xml:space="preserve">Hechas con evidencia</x:t>
  </x:si>
  <x:si>
    <x:t xml:space="preserve">Coordinación y propuesta</x:t>
  </x:si>
  <x:si>
    <x:t xml:space="preserve">Equipo, propuesta, alcance y cronograma.</x:t>
  </x:si>
  <x:si>
    <x:t xml:space="preserve">Fecha del documento</x:t>
  </x:si>
  <x:si>
    <x:t xml:space="preserve">Requisitos y diseño preliminar</x:t>
  </x:si>
  <x:si>
    <x:t xml:space="preserve">Requisitos, diagramas, arquitectura y mockups.</x:t>
  </x:si>
  <x:si>
    <x:t xml:space="preserve">Avance funcional 1 (30%)</x:t>
  </x:si>
  <x:si>
    <x:t xml:space="preserve">Registro, login, Free, límites, WebP, deduplicación, galería, descarga y ahorro básico de administrador.</x:t>
  </x:si>
  <x:si>
    <x:t xml:space="preserve">Avance funcional 2 (50%)</x:t>
  </x:si>
  <x:si>
    <x:t xml:space="preserve">Propuesta: seguridad de cuentas, sesiones revocables, worker, reintentos, borrado y álbumes.</x:t>
  </x:si>
  <x:si>
    <x:t xml:space="preserve">Avance funcional 3 (80%)</x:t>
  </x:si>
  <x:si>
    <x:t xml:space="preserve">Propuesta: pagos simulados, historial, renovación, cambios de plan y panel administrador.</x:t>
  </x:si>
  <x:si>
    <x:t xml:space="preserve">Entrega final y exposiciones</x:t>
  </x:si>
  <x:si>
    <x:t xml:space="preserve">Propuesta: estabilización, documentación, demo técnica y exposición.</x:t>
  </x:si>
  <x:si>
    <x:t xml:space="preserve">06/11 tentativo (imagen)</x:t>
  </x:si>
  <x:si>
    <x:t xml:space="preserve">Responsabilidades del equipo</x:t>
  </x:si>
  <x:si>
    <x:t xml:space="preserve">Nombre corto</x:t>
  </x:si>
  <x:si>
    <x:t xml:space="preserve">Integrante</x:t>
  </x:si>
  <x:si>
    <x:t xml:space="preserve">Carnet</x:t>
  </x:si>
  <x:si>
    <x:t xml:space="preserve">Área principal</x:t>
  </x:si>
  <x:si>
    <x:t xml:space="preserve">Tareas asignadas</x:t>
  </x:si>
  <x:si>
    <x:t xml:space="preserve">Responsabilidad documentada</x:t>
  </x:si>
  <x:si>
    <x:t xml:space="preserve">Andy Isaac Monzón Lopez</x:t>
  </x:si>
  <x:si>
    <x:t xml:space="preserve">1539522</x:t>
  </x:si>
  <x:si>
    <x:t xml:space="preserve">Auth</x:t>
  </x:si>
  <x:si>
    <x:t xml:space="preserve">Registro, login, validaciones, JWT, middleware y seguridad de cuentas.</x:t>
  </x:si>
  <x:si>
    <x:t xml:space="preserve">Justo Geovanny Alcon Mendoza</x:t>
  </x:si>
  <x:si>
    <x:t xml:space="preserve">1578324</x:t>
  </x:si>
  <x:si>
    <x:t xml:space="preserve">Carga, hash, WebP, deduplicación, archivos, workers y métricas de almacenamiento.</x:t>
  </x:si>
  <x:si>
    <x:t xml:space="preserve">Elden Eduardo Gil Soto</x:t>
  </x:si>
  <x:si>
    <x:t xml:space="preserve">1641123</x:t>
  </x:si>
  <x:si>
    <x:t xml:space="preserve">Planes</x:t>
  </x:si>
  <x:si>
    <x:t xml:space="preserve">Catálogo, Free, límites, suscripciones y pagos simulados.</x:t>
  </x:si>
  <x:si>
    <x:t xml:space="preserve">Diego Jose Alegria Oros</x:t>
  </x:si>
  <x:si>
    <x:t xml:space="preserve">1631524</x:t>
  </x:si>
  <x:si>
    <x:t xml:space="preserve">Tema, componentes, navegación, pantallas e integración del frontend.</x:t>
  </x:si>
  <x:si>
    <x:t xml:space="preserve">Criterios del cronograma</x:t>
  </x:si>
  <x:si>
    <x:t xml:space="preserve">El reparto de módulos se conserva. “Diego” y “Alegría” corresponden al mismo integrante. No se añade un quinto miembro.</x:t>
  </x:si>
  <x:si>
    <x:t xml:space="preserve">Los inicios de sprint y las fechas internas son de planificación. Solo los límites S0–S4 están fechados en el documento.</x:t>
  </x:si>
  <x:si>
    <x:t xml:space="preserve">Dependencias: fin→inicio, permitiendo secuencia en el mismo día. No son un cálculo automático de ruta crítica.</x:t>
  </x:si>
  <x:si>
    <x:t xml:space="preserve">Weekly: una reunión por semana para avances/bloqueos, más retrospectiva de 10–15 min. Acordar día y hora con el equipo.</x:t>
  </x:si>
  <x:si>
    <x:t xml:space="preserve">Antes de cada entrega: demostración interna, pruebas locales y revisión por al menos un compañero.</x:t>
  </x:si>
  <x:si>
    <x:t xml:space="preserve">Al actualizar dependencias en J de Tareas, ajustar también la fórmula de N. Para nuevas filas, ampliar Gantt y rangos.</x:t>
  </x:si>
  <x:si>
    <x:t xml:space="preserve">Margen mínimo (Tareas, O): menor margen entre duración, límite del hito y predecesoras. Un valor negativo señala conflicto.</x:t>
  </x:si>
  <x:si>
    <x:t xml:space="preserve">Fuentes y procedencia</x:t>
  </x:si>
  <x:si>
    <x:t xml:space="preserve">Proyecto - Ing. Software.docx: tabla de estudiantes, cronograma, alcance y metodología.</x:t>
  </x:si>
  <x:si>
    <x:t xml:space="preserve">F2</x:t>
  </x:si>
  <x:si>
    <x:t xml:space="preserve">docs/avance-30.md: recorrido de aceptación, reparto, orden de integración e hitos siguientes.</x:t>
  </x:si>
  <x:si>
    <x:t xml:space="preserve">docs/decisiones.md: decisiones del 21/09/2026. Prevalecen sobre el alcance inicial del DOCX.</x:t>
  </x:si>
  <x:si>
    <x:t xml:space="preserve">F5</x:t>
  </x:si>
  <x:si>
    <x:t xml:space="preserve">F6</x:t>
  </x:si>
  <x:si>
    <x:t xml:space="preserve">docs/api.md: contratos de integración, formatos, autenticación y operaciones reservadas.</x:t>
  </x:si>
  <x:si>
    <x:t xml:space="preserve">F7</x:t>
  </x:si>
  <x:si>
    <x:t xml:space="preserve">docs/estilos.md: Diego Alegría coordina presentación, componentes y revisión visual.</x:t>
  </x:si>
  <x:si>
    <x:t xml:space="preserve">F8</x:t>
  </x:si>
  <x:si>
    <x:t xml:space="preserve">docs/flujo-git.md: ramas por tarea, revisión por compañero y reglas de integración.</x:t>
  </x:si>
  <x:si>
    <x:t xml:space="preserve">F9</x:t>
  </x:si>
  <x:si>
    <x:t xml:space="preserve">Imagen del Gantt facilitada: fechas finales de los sprints y 06/11 para cierre tentativo.</x:t>
  </x:si>
  <x:si>
    <x:t xml:space="preserve">P1</x:t>
  </x:si>
  <x:si>
    <x:t xml:space="preserve">Desglose y fechas internas propuestos para organizar las entregas. No representan acuerdos adicionales del equipo.</x:t>
  </x:si>
</x:sst>
</file>

<file path=xl/styles.xml><?xml version="1.0" encoding="utf-8"?>
<x:styleSheet xmlns:x="http://schemas.openxmlformats.org/spreadsheetml/2006/main">
  <x:numFmts count="4">
    <x:numFmt numFmtId="164" formatCode="dd/mm/yyyy"/>
    <x:numFmt numFmtId="165" formatCode="dd/mm"/>
    <x:numFmt numFmtId="166" formatCode=";;;@"/>
    <x:numFmt numFmtId="167" formatCode=";;;"/>
  </x:numFmts>
  <x:fonts count="7">
    <x:font>
      <x:sz val="11"/>
      <x:name val="Carlito"/>
    </x:font>
    <x:font>
      <x:sz val="10"/>
      <x:color rgb="FF202C3D"/>
      <x:name val="Arial"/>
    </x:font>
    <x:font>
      <x:b/>
      <x:sz val="16"/>
      <x:color rgb="FF263C59"/>
      <x:name val="Arial"/>
    </x:font>
    <x:font>
      <x:sz val="10"/>
      <x:color rgb="FF5E6B7D"/>
      <x:name val="Arial"/>
    </x:font>
    <x:font>
      <x:b/>
      <x:sz val="10"/>
      <x:color rgb="FFFFFFFF"/>
      <x:name val="Arial"/>
    </x:font>
    <x:font>
      <x:b/>
      <x:sz val="14"/>
      <x:color rgb="FF202C3D"/>
      <x:name val="Arial"/>
    </x:font>
    <x:font>
      <x:b/>
      <x:sz val="10"/>
      <x:color rgb="FF263C5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63C59"/>
      </x:patternFill>
    </x:fill>
    <x:fill>
      <x:patternFill patternType="solid">
        <x:fgColor rgb="FFFFF2CC"/>
      </x:patternFill>
    </x:fill>
    <x:fill>
      <x:patternFill patternType="solid">
        <x:fgColor rgb="FFF3F6FA"/>
      </x:patternFill>
    </x:fill>
    <x:fill>
      <x:patternFill patternType="solid">
        <x:fgColor rgb="FFE6ECF5"/>
      </x:patternFill>
    </x:fill>
    <x:fill>
      <x:patternFill patternType="solid">
        <x:fgColor rgb="FFB33E35"/>
      </x:patternFill>
    </x:fill>
  </x:fills>
  <x:borders count="10">
    <x:border/>
    <x:border>
      <x:right style="thin">
        <x:color rgb="FFE2E8F0"/>
      </x:right>
      <x:bottom style="thin">
        <x:color rgb="FFFFFFFF"/>
      </x:bottom>
    </x:border>
    <x:border>
      <x:left style="thin">
        <x:color rgb="FFE2E8F0"/>
      </x:left>
      <x:right style="thin">
        <x:color rgb="FFE2E8F0"/>
      </x:right>
      <x:bottom style="thin">
        <x:color rgb="FFFFFFFF"/>
      </x:bottom>
    </x:border>
    <x:border>
      <x:left style="thin">
        <x:color rgb="FFE2E8F0"/>
      </x:left>
      <x:bottom style="thin">
        <x:color rgb="FFFFFFFF"/>
      </x:bottom>
    </x:border>
    <x:border>
      <x:right style="thin">
        <x:color rgb="FFE2E8F0"/>
      </x:right>
      <x:top style="thin">
        <x:color rgb="FFFFFFFF"/>
      </x:top>
      <x:bottom style="thin">
        <x:color rgb="FFFFFFFF"/>
      </x:bottom>
    </x:border>
    <x:border>
      <x:left style="thin">
        <x:color rgb="FFE2E8F0"/>
      </x:left>
      <x:right style="thin">
        <x:color rgb="FFE2E8F0"/>
      </x:right>
      <x:top style="thin">
        <x:color rgb="FFFFFFFF"/>
      </x:top>
      <x:bottom style="thin">
        <x:color rgb="FFFFFFFF"/>
      </x:bottom>
    </x:border>
    <x:border>
      <x:left style="thin">
        <x:color rgb="FFE2E8F0"/>
      </x:left>
      <x:top style="thin">
        <x:color rgb="FFFFFFFF"/>
      </x:top>
      <x:bottom style="thin">
        <x:color rgb="FFFFFFFF"/>
      </x:bottom>
    </x:border>
    <x:border>
      <x:right style="thin">
        <x:color rgb="FFE2E8F0"/>
      </x:right>
      <x:top style="thin">
        <x:color rgb="FFFFFFFF"/>
      </x:top>
    </x:border>
    <x:border>
      <x:left style="thin">
        <x:color rgb="FFE2E8F0"/>
      </x:left>
      <x:right style="thin">
        <x:color rgb="FFE2E8F0"/>
      </x:right>
      <x:top style="thin">
        <x:color rgb="FFFFFFFF"/>
      </x:top>
    </x:border>
    <x:border>
      <x:left style="thin">
        <x:color rgb="FFE2E8F0"/>
      </x:left>
      <x:top style="thin">
        <x:color rgb="FFFFFFFF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0" fontId="1" fillId="0" borderId="0" xfId="0" applyFont="1" applyAlignment="1">
      <x:alignment vertical="center" wrapText="1"/>
    </x:xf>
    <x:xf numFmtId="0" fontId="4" fillId="2" borderId="0" xfId="0" applyFont="1" applyFill="1" applyAlignment="1">
      <x:alignment horizontal="center" vertical="center" wrapText="1"/>
    </x:xf>
    <x:xf numFmtId="164" fontId="1" fillId="0" borderId="0" xfId="0" applyNumberFormat="1" applyFont="1" applyAlignment="1">
      <x:alignment vertical="center" wrapText="1"/>
    </x:xf>
    <x:xf numFmtId="1" fontId="1" fillId="0" borderId="0" xfId="0" applyNumberFormat="1" applyFont="1" applyAlignment="1">
      <x:alignment vertical="center" wrapText="1"/>
    </x:xf>
    <x:xf numFmtId="164" fontId="1" fillId="3" borderId="0" xfId="0" applyNumberFormat="1" applyFont="1" applyFill="1" applyAlignment="1">
      <x:alignment vertical="center" wrapText="1"/>
    </x:xf>
    <x:xf numFmtId="0" fontId="1" fillId="3" borderId="0" xfId="0" applyFont="1" applyFill="1" applyAlignment="1">
      <x:alignment vertical="center" wrapText="1"/>
    </x:xf>
    <x:xf numFmtId="164" fontId="1" fillId="3" borderId="0" xfId="0" applyNumberFormat="1" applyFont="1" applyFill="1" applyAlignment="1">
      <x:alignment vertical="center"/>
    </x:xf>
    <x:xf numFmtId="9" fontId="1" fillId="0" borderId="0" xfId="0" applyNumberFormat="1" applyFont="1" applyAlignment="1">
      <x:alignment vertical="center" wrapText="1"/>
    </x:xf>
    <x:xf numFmtId="0" fontId="1" fillId="4" borderId="0" xfId="0" applyFont="1" applyFill="1" applyAlignment="1">
      <x:alignment vertical="center" wrapText="1"/>
    </x:xf>
    <x:xf numFmtId="164" fontId="1" fillId="4" borderId="0" xfId="0" applyNumberFormat="1" applyFont="1" applyFill="1" applyAlignment="1">
      <x:alignment vertical="center" wrapText="1"/>
    </x:xf>
    <x:xf numFmtId="9" fontId="1" fillId="4" borderId="0" xfId="0" applyNumberFormat="1" applyFont="1" applyFill="1" applyAlignment="1">
      <x:alignment vertical="center" wrapText="1"/>
    </x:xf>
    <x:xf numFmtId="0" fontId="5" fillId="0" borderId="0" xfId="0" applyFont="1" applyAlignment="1">
      <x:alignment vertical="center"/>
    </x:xf>
    <x:xf numFmtId="0" fontId="6" fillId="5" borderId="0" xfId="0" applyFont="1" applyFill="1" applyAlignment="1">
      <x:alignment vertical="center" wrapText="1"/>
    </x:xf>
    <x:xf numFmtId="165" fontId="6" fillId="5" borderId="0" xfId="0" applyNumberFormat="1" applyFont="1" applyFill="1" applyAlignment="1">
      <x:alignment vertical="center" wrapText="1"/>
    </x:xf>
    <x:xf numFmtId="165" fontId="1" fillId="0" borderId="0" xfId="0" applyNumberFormat="1" applyFont="1" applyAlignment="1">
      <x:alignment vertical="center" wrapText="1"/>
    </x:xf>
    <x:xf numFmtId="165" fontId="1" fillId="4" borderId="0" xfId="0" applyNumberFormat="1" applyFont="1" applyFill="1" applyAlignment="1">
      <x:alignment vertical="center" wrapText="1"/>
    </x:xf>
    <x:xf numFmtId="165" fontId="4" fillId="2" borderId="1" xfId="0" applyNumberFormat="1" applyFont="1" applyFill="1" applyBorder="1" applyAlignment="1">
      <x:alignment horizontal="center" vertical="center" wrapText="1"/>
    </x:xf>
    <x:xf numFmtId="165" fontId="4" fillId="2" borderId="2" xfId="0" applyNumberFormat="1" applyFont="1" applyFill="1" applyBorder="1" applyAlignment="1">
      <x:alignment horizontal="center" vertical="center" wrapText="1"/>
    </x:xf>
    <x:xf numFmtId="165" fontId="4" fillId="2" borderId="3" xfId="0" applyNumberFormat="1" applyFont="1" applyFill="1" applyBorder="1" applyAlignment="1">
      <x:alignment horizontal="center" vertical="center" wrapText="1"/>
    </x:xf>
    <x:xf numFmtId="166" fontId="1" fillId="0" borderId="4" xfId="0" applyNumberFormat="1" applyFont="1" applyBorder="1" applyAlignment="1">
      <x:alignment horizontal="center" vertical="center"/>
    </x:xf>
    <x:xf numFmtId="166" fontId="1" fillId="0" borderId="5" xfId="0" applyNumberFormat="1" applyFont="1" applyBorder="1" applyAlignment="1">
      <x:alignment horizontal="center" vertical="center"/>
    </x:xf>
    <x:xf numFmtId="166" fontId="1" fillId="0" borderId="6" xfId="0" applyNumberFormat="1" applyFont="1" applyBorder="1" applyAlignment="1">
      <x:alignment horizontal="center" vertical="center"/>
    </x:xf>
    <x:xf numFmtId="167" fontId="1" fillId="0" borderId="4" xfId="0" applyNumberFormat="1" applyFont="1" applyBorder="1" applyAlignment="1">
      <x:alignment horizontal="center" vertical="center"/>
    </x:xf>
    <x:xf numFmtId="167" fontId="1" fillId="0" borderId="5" xfId="0" applyNumberFormat="1" applyFont="1" applyBorder="1" applyAlignment="1">
      <x:alignment horizontal="center" vertical="center"/>
    </x:xf>
    <x:xf numFmtId="167" fontId="1" fillId="0" borderId="6" xfId="0" applyNumberFormat="1" applyFont="1" applyBorder="1" applyAlignment="1">
      <x:alignment horizontal="center" vertical="center"/>
    </x:xf>
    <x:xf numFmtId="167" fontId="1" fillId="4" borderId="4" xfId="0" applyNumberFormat="1" applyFont="1" applyFill="1" applyBorder="1" applyAlignment="1">
      <x:alignment horizontal="center" vertical="center"/>
    </x:xf>
    <x:xf numFmtId="167" fontId="1" fillId="4" borderId="5" xfId="0" applyNumberFormat="1" applyFont="1" applyFill="1" applyBorder="1" applyAlignment="1">
      <x:alignment horizontal="center" vertical="center"/>
    </x:xf>
    <x:xf numFmtId="167" fontId="1" fillId="4" borderId="6" xfId="0" applyNumberFormat="1" applyFont="1" applyFill="1" applyBorder="1" applyAlignment="1">
      <x:alignment horizontal="center" vertical="center"/>
    </x:xf>
    <x:xf numFmtId="167" fontId="1" fillId="0" borderId="7" xfId="0" applyNumberFormat="1" applyFont="1" applyBorder="1" applyAlignment="1">
      <x:alignment horizontal="center" vertical="center"/>
    </x:xf>
    <x:xf numFmtId="167" fontId="1" fillId="0" borderId="8" xfId="0" applyNumberFormat="1" applyFont="1" applyBorder="1" applyAlignment="1">
      <x:alignment horizontal="center" vertical="center"/>
    </x:xf>
    <x:xf numFmtId="167" fontId="1" fillId="0" borderId="9" xfId="0" applyNumberFormat="1" applyFont="1" applyBorder="1" applyAlignment="1">
      <x:alignment horizontal="center" vertical="center"/>
    </x:xf>
    <x:xf numFmtId="165" fontId="4" fillId="6" borderId="3" xfId="0" applyNumberFormat="1" applyFont="1" applyFill="1" applyBorder="1" applyAlignment="1">
      <x:alignment horizontal="center" vertical="center" wrapText="1"/>
    </x:xf>
    <x:xf numFmtId="167" fontId="1" fillId="4" borderId="4" xfId="0" applyNumberFormat="1" applyFont="1" applyFill="1" applyBorder="1" applyAlignment="1">
      <x:alignment vertical="center"/>
    </x:xf>
    <x:xf numFmtId="167" fontId="1" fillId="4" borderId="5" xfId="0" applyNumberFormat="1" applyFont="1" applyFill="1" applyBorder="1" applyAlignment="1">
      <x:alignment vertical="center"/>
    </x:xf>
    <x:xf numFmtId="167" fontId="1" fillId="4" borderId="6" xfId="0" applyNumberFormat="1" applyFont="1" applyFill="1" applyBorder="1" applyAlignment="1">
      <x:alignment vertical="center"/>
    </x:xf>
    <x:xf numFmtId="167" fontId="1" fillId="0" borderId="4" xfId="0" applyNumberFormat="1" applyFont="1" applyBorder="1" applyAlignment="1">
      <x:alignment vertical="center"/>
    </x:xf>
    <x:xf numFmtId="167" fontId="1" fillId="0" borderId="5" xfId="0" applyNumberFormat="1" applyFont="1" applyBorder="1" applyAlignment="1">
      <x:alignment vertical="center"/>
    </x:xf>
    <x:xf numFmtId="167" fontId="1" fillId="0" borderId="6" xfId="0" applyNumberFormat="1" applyFont="1" applyBorder="1" applyAlignment="1">
      <x:alignment vertical="center"/>
    </x:xf>
    <x:xf numFmtId="167" fontId="1" fillId="0" borderId="7" xfId="0" applyNumberFormat="1" applyFont="1" applyBorder="1" applyAlignment="1">
      <x:alignment vertical="center"/>
    </x:xf>
    <x:xf numFmtId="167" fontId="1" fillId="0" borderId="8" xfId="0" applyNumberFormat="1" applyFont="1" applyBorder="1" applyAlignment="1">
      <x:alignment vertical="center"/>
    </x:xf>
    <x:xf numFmtId="167" fontId="1" fillId="0" borderId="9" xfId="0" applyNumberFormat="1" applyFont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5">
    <x:dxf>
      <x:font>
        <x:color rgb="FFA02626"/>
      </x:font>
      <x:fill>
        <x:patternFill>
          <x:bgColor rgb="FFFCE5E5"/>
        </x:patternFill>
      </x:fill>
    </x:dxf>
    <x:dxf>
      <x:font>
        <x:color rgb="FFA02626"/>
      </x:font>
      <x:fill>
        <x:patternFill>
          <x:bgColor rgb="FFFCE5E5"/>
        </x:patternFill>
      </x:fill>
    </x:dxf>
    <x:dxf>
      <x:fill>
        <x:patternFill>
          <x:bgColor rgb="FF48A84E"/>
        </x:patternFill>
      </x:fill>
    </x:dxf>
    <x:dxf>
      <x:fill>
        <x:patternFill>
          <x:bgColor rgb="FF5787E8"/>
        </x:patternFill>
      </x:fill>
    </x:dxf>
    <x:dxf>
      <x:fill>
        <x:patternFill>
          <x:bgColor rgb="FFED801D"/>
        </x:patternFill>
      </x:fill>
    </x:dxf>
    <x:dxf>
      <x:font>
        <x:b/>
        <x:color rgb="FFFFFFFF"/>
      </x:font>
      <x:fill>
        <x:patternFill>
          <x:bgColor rgb="FFED801D"/>
        </x:patternFill>
      </x:fill>
    </x:dxf>
    <x:dxf>
      <x:fill>
        <x:patternFill>
          <x:bgColor rgb="FF48A84E"/>
        </x:patternFill>
      </x:fill>
    </x:dxf>
    <x:dxf>
      <x:font>
        <x:b/>
        <x:color rgb="FFFFFFFF"/>
      </x:font>
      <x:fill>
        <x:patternFill>
          <x:bgColor rgb="FF48A84E"/>
        </x:patternFill>
      </x:fill>
    </x:dxf>
    <x:dxf>
      <x:fill>
        <x:patternFill>
          <x:bgColor rgb="FF48A84E"/>
        </x:patternFill>
      </x:fill>
    </x:dxf>
    <x:dxf>
      <x:font>
        <x:b/>
        <x:color rgb="FFFFFFFF"/>
      </x:font>
      <x:fill>
        <x:patternFill>
          <x:bgColor rgb="FF48A84E"/>
        </x:patternFill>
      </x:fill>
    </x:dxf>
    <x:dxf>
      <x:fill>
        <x:patternFill>
          <x:bgColor rgb="FF48A84E"/>
        </x:patternFill>
      </x:fill>
    </x:dxf>
    <x:dxf>
      <x:font>
        <x:b/>
        <x:color rgb="FFFFFFFF"/>
      </x:font>
      <x:fill>
        <x:patternFill>
          <x:bgColor rgb="FF48A84E"/>
        </x:patternFill>
      </x:fill>
    </x:dxf>
    <x:dxf>
      <x:fill>
        <x:patternFill>
          <x:bgColor rgb="FF5787E8"/>
        </x:patternFill>
      </x:fill>
    </x:dxf>
    <x:dxf>
      <x:font>
        <x:b/>
        <x:color rgb="FFFFFFFF"/>
      </x:font>
      <x:fill>
        <x:patternFill>
          <x:bgColor rgb="FF5787E8"/>
        </x:patternFill>
      </x:fill>
    </x:dxf>
    <x:dxf>
      <x:fill>
        <x:patternFill>
          <x:bgColor rgb="FF5787E8"/>
        </x:patternFill>
      </x:fill>
    </x:dxf>
    <x:dxf>
      <x:font>
        <x:b/>
        <x:color rgb="FFFFFFFF"/>
      </x:font>
      <x:fill>
        <x:patternFill>
          <x:bgColor rgb="FF5787E8"/>
        </x:patternFill>
      </x:fill>
    </x:dxf>
    <x:dxf>
      <x:font>
        <x:color rgb="FF315E27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15E27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15E27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15E27"/>
      </x:font>
      <x:fill>
        <x:patternFill>
          <x:bgColor rgb="FFE2F0D9"/>
        </x:patternFill>
      </x:fill>
    </x:dxf>
    <x:dxf>
      <x:font>
        <x:color rgb="FF315E27"/>
      </x:font>
      <x:fill>
        <x:patternFill>
          <x:bgColor rgb="FFE2F0D9"/>
        </x:patternFill>
      </x:fill>
    </x:dxf>
    <x:dxf>
      <x:font>
        <x:color rgb="FF315E27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5e1deefc3a4c33" /><Relationship Type="http://schemas.openxmlformats.org/officeDocument/2006/relationships/theme" Target="/xl/theme/theme1.xml" Id="R3570f665078c42fb" /><Relationship Type="http://schemas.openxmlformats.org/officeDocument/2006/relationships/sharedStrings" Target="/xl/sharedStrings.xml" Id="Re04b2ac7d7784605" /><Relationship Type="http://schemas.openxmlformats.org/officeDocument/2006/relationships/worksheet" Target="/xl/worksheets/sheet1.xml" Id="Raef5e3870043408e" /><Relationship Type="http://schemas.openxmlformats.org/officeDocument/2006/relationships/worksheet" Target="/xl/worksheets/sheet2.xml" Id="R0b2e33a2b6814830" /><Relationship Type="http://schemas.openxmlformats.org/officeDocument/2006/relationships/worksheet" Target="/xl/worksheets/sheet3.xml" Id="R4e991108687e477b" /><Relationship Type="http://schemas.openxmlformats.org/officeDocument/2006/relationships/worksheet" Target="/xl/worksheets/sheet4.xml" Id="Rf27accabac334132" /></Relationships>
</file>

<file path=xl/tables/table1.xml><?xml version="1.0" encoding="utf-8"?>
<x:table xmlns:x="http://schemas.openxmlformats.org/spreadsheetml/2006/main" id="1" name="PlanSmartStorage" displayName="PlanSmartStorage" ref="A7:P63" totalsRowShown="0">
  <x:tableColumns count="16">
    <x:tableColumn id="1" name="ID"/>
    <x:tableColumn id="2" name="Hito"/>
    <x:tableColumn id="3" name="Área"/>
    <x:tableColumn id="4" name="Actividad"/>
    <x:tableColumn id="5" name="Responsable"/>
    <x:tableColumn id="6" name="Apoyo / coordinación"/>
    <x:tableColumn id="7" name="Inicio propuesto"/>
    <x:tableColumn id="8" name="Fin propuesto"/>
    <x:tableColumn id="9" name="Días calendario"/>
    <x:tableColumn id="10" name="Predecesoras"/>
    <x:tableColumn id="11" name="Estado reportado"/>
    <x:tableColumn id="12" name="Criterio de aceptación"/>
    <x:tableColumn id="13" name="Evidencia / PR"/>
    <x:tableColumn id="14" name="Fin de predecesoras"/>
    <x:tableColumn id="15" name="Margen mínimo (d)"/>
    <x:tableColumn id="16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3e2b5cbd50e40cc" /></Relationships>
</file>

<file path=xl/worksheets/sheet1.xml><?xml version="1.0" encoding="utf-8"?>
<x:worksheet xmlns:x="http://schemas.openxmlformats.org/spreadsheetml/2006/main">
  <x:sheetPr>
    <x:tabColor rgb="FF263C59"/>
  </x:sheetPr>
  <x:sheetViews>
    <x:sheetView showGridLines="0" workbookViewId="0">
      <x:pane xSplit="2" ySplit="7" topLeftCell="C8" activePane="bottomRight" state="frozen"/>
    </x:sheetView>
  </x:sheetViews>
  <x:sheetFormatPr baseColWidth="10" defaultColWidth="8.796875" defaultRowHeight="13.800000190734863"/>
  <x:cols>
    <x:col min="1" max="1" width="9.5" customWidth="1"/>
    <x:col min="2" max="2" width="40.59765625" customWidth="1"/>
    <x:col min="3" max="3" width="12.5" customWidth="1"/>
    <x:col min="4" max="5" width="11" customWidth="1"/>
    <x:col min="6" max="6" width="16" customWidth="1"/>
    <x:col min="7" max="17" width="7.09765625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0" customHeight="1">
      <x:c r="A2" s="2" t="s">
        <x:v>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5.049999237060547" customHeight="1">
      <x:c r="A3" s="3" t="s">
        <x:v>1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5.049999237060547" customHeight="1">
      <x:c r="A4" s="3" t="s">
        <x:v>2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5.049999237060547" customHeight="1">
      <x:c r="A5" s="3" t="str">
        <x:v>Estados revisados al 25/09/2026 desde a560a45. Las barras muestran fechas planificadas, no fechas reales de finalización.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5.049999237060547" customHeight="1">
      <x:c r="A6" s="3" t="s">
        <x:v>3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34.04999923706055" customHeight="1">
      <x:c r="A7" s="5" t="s">
        <x:v>4</x:v>
      </x:c>
      <x:c r="B7" s="5" t="s">
        <x:v>5</x:v>
      </x:c>
      <x:c r="C7" s="5" t="s">
        <x:v>6</x:v>
      </x:c>
      <x:c r="D7" s="5" t="s">
        <x:v>7</x:v>
      </x:c>
      <x:c r="E7" s="5" t="s">
        <x:v>8</x:v>
      </x:c>
      <x:c r="F7" s="5" t="s">
        <x:v>9</x:v>
      </x:c>
      <x:c r="G7" s="20">
        <x:v>46258</x:v>
      </x:c>
      <x:c r="H7" s="21">
        <x:v>46265</x:v>
      </x:c>
      <x:c r="I7" s="21">
        <x:v>46272</x:v>
      </x:c>
      <x:c r="J7" s="21">
        <x:v>46279</x:v>
      </x:c>
      <x:c r="K7" s="21">
        <x:v>46286</x:v>
      </x:c>
      <x:c r="L7" s="21">
        <x:v>46293</x:v>
      </x:c>
      <x:c r="M7" s="21">
        <x:v>46300</x:v>
      </x:c>
      <x:c r="N7" s="21">
        <x:v>46307</x:v>
      </x:c>
      <x:c r="O7" s="21">
        <x:v>46314</x:v>
      </x:c>
      <x:c r="P7" s="21">
        <x:v>46321</x:v>
      </x:c>
      <x:c r="Q7" s="22">
        <x:v>46328</x:v>
      </x:c>
    </x:row>
    <x:row r="8" ht="37.04999923706055" customHeight="1">
      <x:c r="A8" s="16" t="str">
        <x:f>'Entregas y equipo'!A8</x:f>
        <x:v>S0</x:v>
      </x:c>
      <x:c r="B8" s="16" t="str">
        <x:f>'Entregas y equipo'!B8</x:f>
        <x:v>Coordinación y propuesta</x:v>
      </x:c>
      <x:c r="C8" s="16" t="str">
        <x:f>"Equipo"</x:f>
        <x:v>Equipo</x:v>
      </x:c>
      <x:c r="D8" s="17" t="n">
        <x:f>'Entregas y equipo'!C8</x:f>
        <x:v>46258</x:v>
      </x:c>
      <x:c r="E8" s="17" t="n">
        <x:f>'Entregas y equipo'!D8</x:f>
        <x:v>46262</x:v>
      </x:c>
      <x:c r="F8" s="16" t="str">
        <x:f>"Hito previsto"</x:f>
        <x:v>Hito previsto</x:v>
      </x:c>
      <x:c r="G8" s="23" t="str">
        <x:f t="shared" ref="G8:Q8" si="0">IF(AND(G$7&lt;=$E8,G$7+6&gt;=$E8),"H",IF(AND(G$7&lt;=$E8,G$7+6&gt;=$D8),1,""))</x:f>
        <x:v>H</x:v>
      </x:c>
      <x:c r="H8" s="24" t="str">
        <x:f t="shared" si="0"/>
      </x:c>
      <x:c r="I8" s="24" t="str">
        <x:f t="shared" si="0"/>
      </x:c>
      <x:c r="J8" s="24" t="str">
        <x:f t="shared" si="0"/>
      </x:c>
      <x:c r="K8" s="24" t="str">
        <x:f t="shared" si="0"/>
      </x:c>
      <x:c r="L8" s="24" t="str">
        <x:f t="shared" si="0"/>
      </x:c>
      <x:c r="M8" s="24" t="str">
        <x:f t="shared" si="0"/>
      </x:c>
      <x:c r="N8" s="24" t="str">
        <x:f t="shared" si="0"/>
      </x:c>
      <x:c r="O8" s="24" t="str">
        <x:f t="shared" si="0"/>
      </x:c>
      <x:c r="P8" s="24" t="str">
        <x:f t="shared" si="0"/>
      </x:c>
      <x:c r="Q8" s="25" t="str">
        <x:f t="shared" si="0"/>
      </x:c>
    </x:row>
    <x:row r="9" ht="37.04999923706055" customHeight="1">
      <x:c r="A9" s="4" t="s">
        <x:v>10</x:v>
      </x:c>
      <x:c r="B9" s="4" t="str">
        <x:f>VLOOKUP($A9,Tareas!$A$8:$P$63,4,FALSE)</x:f>
        <x:v>Definir equipo y organización</x:v>
      </x:c>
      <x:c r="C9" s="4" t="str">
        <x:f>VLOOKUP($A9,Tareas!$A$8:$P$63,5,FALSE)</x:f>
        <x:v>Equipo</x:v>
      </x:c>
      <x:c r="D9" s="18" t="n">
        <x:f>VLOOKUP($A9,Tareas!$A$8:$P$63,7,FALSE)</x:f>
        <x:v>46258</x:v>
      </x:c>
      <x:c r="E9" s="18" t="n">
        <x:f>VLOOKUP($A9,Tareas!$A$8:$P$63,8,FALSE)</x:f>
        <x:v>46259</x:v>
      </x:c>
      <x:c r="F9" s="4" t="s">
        <x:v>11</x:v>
      </x:c>
      <x:c r="G9" s="26" t="n">
        <x:f t="shared" ref="G9:Q12" si="1">IF(AND(G$7&lt;=$E9,G$7+6&gt;=$D9),1,"")</x:f>
        <x:v>1</x:v>
      </x:c>
      <x:c r="H9" s="27" t="str">
        <x:f t="shared" si="1"/>
      </x:c>
      <x:c r="I9" s="27" t="str">
        <x:f t="shared" si="1"/>
      </x:c>
      <x:c r="J9" s="27" t="str">
        <x:f t="shared" si="1"/>
      </x:c>
      <x:c r="K9" s="27" t="str">
        <x:f t="shared" si="1"/>
      </x:c>
      <x:c r="L9" s="27" t="str">
        <x:f t="shared" si="1"/>
      </x:c>
      <x:c r="M9" s="27" t="str">
        <x:f t="shared" si="1"/>
      </x:c>
      <x:c r="N9" s="27" t="str">
        <x:f t="shared" si="1"/>
      </x:c>
      <x:c r="O9" s="27" t="str">
        <x:f t="shared" si="1"/>
      </x:c>
      <x:c r="P9" s="27" t="str">
        <x:f t="shared" si="1"/>
      </x:c>
      <x:c r="Q9" s="28" t="str">
        <x:f t="shared" si="1"/>
      </x:c>
    </x:row>
    <x:row r="10" ht="37.04999923706055" customHeight="1">
      <x:c r="A10" s="12" t="s">
        <x:v>12</x:v>
      </x:c>
      <x:c r="B10" s="12" t="str">
        <x:f>VLOOKUP($A10,Tareas!$A$8:$P$63,4,FALSE)</x:f>
        <x:v>Definir problema, solución y alcance</x:v>
      </x:c>
      <x:c r="C10" s="12" t="str">
        <x:f>VLOOKUP($A10,Tareas!$A$8:$P$63,5,FALSE)</x:f>
        <x:v>Equipo</x:v>
      </x:c>
      <x:c r="D10" s="19" t="n">
        <x:f>VLOOKUP($A10,Tareas!$A$8:$P$63,7,FALSE)</x:f>
        <x:v>46259</x:v>
      </x:c>
      <x:c r="E10" s="19" t="n">
        <x:f>VLOOKUP($A10,Tareas!$A$8:$P$63,8,FALSE)</x:f>
        <x:v>46261</x:v>
      </x:c>
      <x:c r="F10" s="12" t="s">
        <x:v>11</x:v>
      </x:c>
      <x:c r="G10" s="29">
        <x:f t="shared" si="1"/>
        <x:v>1</x:v>
      </x:c>
      <x:c r="H10" s="30" t="str">
        <x:f t="shared" si="1"/>
      </x:c>
      <x:c r="I10" s="30" t="str">
        <x:f t="shared" si="1"/>
      </x:c>
      <x:c r="J10" s="30" t="str">
        <x:f t="shared" si="1"/>
      </x:c>
      <x:c r="K10" s="30" t="str">
        <x:f t="shared" si="1"/>
      </x:c>
      <x:c r="L10" s="30" t="str">
        <x:f t="shared" si="1"/>
      </x:c>
      <x:c r="M10" s="30" t="str">
        <x:f t="shared" si="1"/>
      </x:c>
      <x:c r="N10" s="30" t="str">
        <x:f t="shared" si="1"/>
      </x:c>
      <x:c r="O10" s="30" t="str">
        <x:f t="shared" si="1"/>
      </x:c>
      <x:c r="P10" s="30" t="str">
        <x:f t="shared" si="1"/>
      </x:c>
      <x:c r="Q10" s="31" t="str">
        <x:f t="shared" si="1"/>
      </x:c>
    </x:row>
    <x:row r="11" ht="37.04999923706055" customHeight="1">
      <x:c r="A11" s="4" t="s">
        <x:v>13</x:v>
      </x:c>
      <x:c r="B11" s="4" t="str">
        <x:f>VLOOKUP($A11,Tareas!$A$8:$P$63,4,FALSE)</x:f>
        <x:v>Preparar metodología y cronograma</x:v>
      </x:c>
      <x:c r="C11" s="4" t="str">
        <x:f>VLOOKUP($A11,Tareas!$A$8:$P$63,5,FALSE)</x:f>
        <x:v>Equipo</x:v>
      </x:c>
      <x:c r="D11" s="18" t="n">
        <x:f>VLOOKUP($A11,Tareas!$A$8:$P$63,7,FALSE)</x:f>
        <x:v>46260</x:v>
      </x:c>
      <x:c r="E11" s="18" t="n">
        <x:f>VLOOKUP($A11,Tareas!$A$8:$P$63,8,FALSE)</x:f>
        <x:v>46261</x:v>
      </x:c>
      <x:c r="F11" s="4" t="s">
        <x:v>11</x:v>
      </x:c>
      <x:c r="G11" s="26">
        <x:f t="shared" si="1"/>
        <x:v>1</x:v>
      </x:c>
      <x:c r="H11" s="27" t="str">
        <x:f t="shared" si="1"/>
      </x:c>
      <x:c r="I11" s="27" t="str">
        <x:f t="shared" si="1"/>
      </x:c>
      <x:c r="J11" s="27" t="str">
        <x:f t="shared" si="1"/>
      </x:c>
      <x:c r="K11" s="27" t="str">
        <x:f t="shared" si="1"/>
      </x:c>
      <x:c r="L11" s="27" t="str">
        <x:f t="shared" si="1"/>
      </x:c>
      <x:c r="M11" s="27" t="str">
        <x:f t="shared" si="1"/>
      </x:c>
      <x:c r="N11" s="27" t="str">
        <x:f t="shared" si="1"/>
      </x:c>
      <x:c r="O11" s="27" t="str">
        <x:f t="shared" si="1"/>
      </x:c>
      <x:c r="P11" s="27" t="str">
        <x:f t="shared" si="1"/>
      </x:c>
      <x:c r="Q11" s="28" t="str">
        <x:f t="shared" si="1"/>
      </x:c>
    </x:row>
    <x:row r="12" ht="37.04999923706055" customHeight="1">
      <x:c r="A12" s="12" t="s">
        <x:v>14</x:v>
      </x:c>
      <x:c r="B12" s="12" t="str">
        <x:f>VLOOKUP($A12,Tareas!$A$8:$P$63,4,FALSE)</x:f>
        <x:v>Revisar y entregar propuesta</x:v>
      </x:c>
      <x:c r="C12" s="12" t="str">
        <x:f>VLOOKUP($A12,Tareas!$A$8:$P$63,5,FALSE)</x:f>
        <x:v>Equipo</x:v>
      </x:c>
      <x:c r="D12" s="19" t="n">
        <x:f>VLOOKUP($A12,Tareas!$A$8:$P$63,7,FALSE)</x:f>
        <x:v>46262</x:v>
      </x:c>
      <x:c r="E12" s="19" t="n">
        <x:f>VLOOKUP($A12,Tareas!$A$8:$P$63,8,FALSE)</x:f>
        <x:v>46262</x:v>
      </x:c>
      <x:c r="F12" s="12" t="s">
        <x:v>11</x:v>
      </x:c>
      <x:c r="G12" s="29">
        <x:f t="shared" si="1"/>
        <x:v>1</x:v>
      </x:c>
      <x:c r="H12" s="30" t="str">
        <x:f t="shared" si="1"/>
      </x:c>
      <x:c r="I12" s="30" t="str">
        <x:f t="shared" si="1"/>
      </x:c>
      <x:c r="J12" s="30" t="str">
        <x:f t="shared" si="1"/>
      </x:c>
      <x:c r="K12" s="30" t="str">
        <x:f t="shared" si="1"/>
      </x:c>
      <x:c r="L12" s="30" t="str">
        <x:f t="shared" si="1"/>
      </x:c>
      <x:c r="M12" s="30" t="str">
        <x:f t="shared" si="1"/>
      </x:c>
      <x:c r="N12" s="30" t="str">
        <x:f t="shared" si="1"/>
      </x:c>
      <x:c r="O12" s="30" t="str">
        <x:f t="shared" si="1"/>
      </x:c>
      <x:c r="P12" s="30" t="str">
        <x:f t="shared" si="1"/>
      </x:c>
      <x:c r="Q12" s="31" t="str">
        <x:f t="shared" si="1"/>
      </x:c>
    </x:row>
    <x:row r="13" ht="37.04999923706055" customHeight="1">
      <x:c r="A13" s="16" t="str">
        <x:f>'Entregas y equipo'!A9</x:f>
        <x:v>S1</x:v>
      </x:c>
      <x:c r="B13" s="16" t="str">
        <x:f>'Entregas y equipo'!B9</x:f>
        <x:v>Requisitos y diseño preliminar</x:v>
      </x:c>
      <x:c r="C13" s="16" t="str">
        <x:f>"Equipo"</x:f>
        <x:v>Equipo</x:v>
      </x:c>
      <x:c r="D13" s="17" t="n">
        <x:f>'Entregas y equipo'!C9</x:f>
        <x:v>46263</x:v>
      </x:c>
      <x:c r="E13" s="17" t="n">
        <x:f>'Entregas y equipo'!D9</x:f>
        <x:v>46276</x:v>
      </x:c>
      <x:c r="F13" s="16" t="str">
        <x:f>"Hito previsto"</x:f>
        <x:v>Hito previsto</x:v>
      </x:c>
      <x:c r="G13" s="23" t="n">
        <x:f t="shared" ref="G13:Q13" si="2">IF(AND(G$7&lt;=$E13,G$7+6&gt;=$E13),"H",IF(AND(G$7&lt;=$E13,G$7+6&gt;=$D13),1,""))</x:f>
        <x:v>1</x:v>
      </x:c>
      <x:c r="H13" s="24">
        <x:f t="shared" si="2"/>
        <x:v>1</x:v>
      </x:c>
      <x:c r="I13" s="24" t="str">
        <x:f t="shared" si="2"/>
        <x:v>H</x:v>
      </x:c>
      <x:c r="J13" s="24" t="str">
        <x:f t="shared" si="2"/>
      </x:c>
      <x:c r="K13" s="24" t="str">
        <x:f t="shared" si="2"/>
      </x:c>
      <x:c r="L13" s="24" t="str">
        <x:f t="shared" si="2"/>
      </x:c>
      <x:c r="M13" s="24" t="str">
        <x:f t="shared" si="2"/>
      </x:c>
      <x:c r="N13" s="24" t="str">
        <x:f t="shared" si="2"/>
      </x:c>
      <x:c r="O13" s="24" t="str">
        <x:f t="shared" si="2"/>
      </x:c>
      <x:c r="P13" s="24" t="str">
        <x:f t="shared" si="2"/>
      </x:c>
      <x:c r="Q13" s="25" t="str">
        <x:f t="shared" si="2"/>
      </x:c>
    </x:row>
    <x:row r="14" ht="37.04999923706055" customHeight="1">
      <x:c r="A14" s="12" t="s">
        <x:v>15</x:v>
      </x:c>
      <x:c r="B14" s="12" t="str">
        <x:f>VLOOKUP($A14,Tareas!$A$8:$P$63,4,FALSE)</x:f>
        <x:v>Detallar requisitos de usuarios</x:v>
      </x:c>
      <x:c r="C14" s="12" t="str">
        <x:f>VLOOKUP($A14,Tareas!$A$8:$P$63,5,FALSE)</x:f>
        <x:v>Andy</x:v>
      </x:c>
      <x:c r="D14" s="19" t="n">
        <x:f>VLOOKUP($A14,Tareas!$A$8:$P$63,7,FALSE)</x:f>
        <x:v>46265</x:v>
      </x:c>
      <x:c r="E14" s="19" t="n">
        <x:f>VLOOKUP($A14,Tareas!$A$8:$P$63,8,FALSE)</x:f>
        <x:v>46268</x:v>
      </x:c>
      <x:c r="F14" s="12" t="str">
        <x:f>VLOOKUP($A14,Tareas!$A$8:$P$63,11,FALSE)</x:f>
        <x:v>Hecha</x:v>
      </x:c>
      <x:c r="G14" s="29" t="str">
        <x:f t="shared" ref="G14:Q19" si="3">IF(AND(G$7&lt;=$E14,G$7+6&gt;=$D14),1,"")</x:f>
      </x:c>
      <x:c r="H14" s="30">
        <x:f t="shared" si="3"/>
        <x:v>1</x:v>
      </x:c>
      <x:c r="I14" s="30" t="str">
        <x:f t="shared" si="3"/>
      </x:c>
      <x:c r="J14" s="30" t="str">
        <x:f t="shared" si="3"/>
      </x:c>
      <x:c r="K14" s="30" t="str">
        <x:f t="shared" si="3"/>
      </x:c>
      <x:c r="L14" s="30" t="str">
        <x:f t="shared" si="3"/>
      </x:c>
      <x:c r="M14" s="30" t="str">
        <x:f t="shared" si="3"/>
      </x:c>
      <x:c r="N14" s="30" t="str">
        <x:f t="shared" si="3"/>
      </x:c>
      <x:c r="O14" s="30" t="str">
        <x:f t="shared" si="3"/>
      </x:c>
      <x:c r="P14" s="30" t="str">
        <x:f t="shared" si="3"/>
      </x:c>
      <x:c r="Q14" s="31" t="str">
        <x:f t="shared" si="3"/>
      </x:c>
    </x:row>
    <x:row r="15" ht="37.04999923706055" customHeight="1">
      <x:c r="A15" s="4" t="s">
        <x:v>16</x:v>
      </x:c>
      <x:c r="B15" s="4" t="str">
        <x:f>VLOOKUP($A15,Tareas!$A$8:$P$63,4,FALSE)</x:f>
        <x:v>Detallar requisitos de Storage</x:v>
      </x:c>
      <x:c r="C15" s="4" t="str">
        <x:f>VLOOKUP($A15,Tareas!$A$8:$P$63,5,FALSE)</x:f>
        <x:v>Geovanny</x:v>
      </x:c>
      <x:c r="D15" s="18" t="n">
        <x:f>VLOOKUP($A15,Tareas!$A$8:$P$63,7,FALSE)</x:f>
        <x:v>46265</x:v>
      </x:c>
      <x:c r="E15" s="18" t="n">
        <x:f>VLOOKUP($A15,Tareas!$A$8:$P$63,8,FALSE)</x:f>
        <x:v>46268</x:v>
      </x:c>
      <x:c r="F15" s="4" t="str">
        <x:f>VLOOKUP($A15,Tareas!$A$8:$P$63,11,FALSE)</x:f>
        <x:v>Hecha</x:v>
      </x:c>
      <x:c r="G15" s="26" t="str">
        <x:f t="shared" si="3"/>
      </x:c>
      <x:c r="H15" s="27">
        <x:f t="shared" si="3"/>
        <x:v>1</x:v>
      </x:c>
      <x:c r="I15" s="27" t="str">
        <x:f t="shared" si="3"/>
      </x:c>
      <x:c r="J15" s="27" t="str">
        <x:f t="shared" si="3"/>
      </x:c>
      <x:c r="K15" s="27" t="str">
        <x:f t="shared" si="3"/>
      </x:c>
      <x:c r="L15" s="27" t="str">
        <x:f t="shared" si="3"/>
      </x:c>
      <x:c r="M15" s="27" t="str">
        <x:f t="shared" si="3"/>
      </x:c>
      <x:c r="N15" s="27" t="str">
        <x:f t="shared" si="3"/>
      </x:c>
      <x:c r="O15" s="27" t="str">
        <x:f t="shared" si="3"/>
      </x:c>
      <x:c r="P15" s="27" t="str">
        <x:f t="shared" si="3"/>
      </x:c>
      <x:c r="Q15" s="28" t="str">
        <x:f t="shared" si="3"/>
      </x:c>
    </x:row>
    <x:row r="16" ht="37.04999923706055" customHeight="1">
      <x:c r="A16" s="12" t="s">
        <x:v>17</x:v>
      </x:c>
      <x:c r="B16" s="12" t="str">
        <x:f>VLOOKUP($A16,Tareas!$A$8:$P$63,4,FALSE)</x:f>
        <x:v>Detallar planes y pagos simulados</x:v>
      </x:c>
      <x:c r="C16" s="12" t="str">
        <x:f>VLOOKUP($A16,Tareas!$A$8:$P$63,5,FALSE)</x:f>
        <x:v>Elden</x:v>
      </x:c>
      <x:c r="D16" s="19" t="n">
        <x:f>VLOOKUP($A16,Tareas!$A$8:$P$63,7,FALSE)</x:f>
        <x:v>46265</x:v>
      </x:c>
      <x:c r="E16" s="19" t="n">
        <x:f>VLOOKUP($A16,Tareas!$A$8:$P$63,8,FALSE)</x:f>
        <x:v>46268</x:v>
      </x:c>
      <x:c r="F16" s="12" t="str">
        <x:f>VLOOKUP($A16,Tareas!$A$8:$P$63,11,FALSE)</x:f>
        <x:v>Por confirmar</x:v>
      </x:c>
      <x:c r="G16" s="29" t="str">
        <x:f t="shared" si="3"/>
      </x:c>
      <x:c r="H16" s="30">
        <x:f t="shared" si="3"/>
        <x:v>1</x:v>
      </x:c>
      <x:c r="I16" s="30" t="str">
        <x:f t="shared" si="3"/>
      </x:c>
      <x:c r="J16" s="30" t="str">
        <x:f t="shared" si="3"/>
      </x:c>
      <x:c r="K16" s="30" t="str">
        <x:f t="shared" si="3"/>
      </x:c>
      <x:c r="L16" s="30" t="str">
        <x:f t="shared" si="3"/>
      </x:c>
      <x:c r="M16" s="30" t="str">
        <x:f t="shared" si="3"/>
      </x:c>
      <x:c r="N16" s="30" t="str">
        <x:f t="shared" si="3"/>
      </x:c>
      <x:c r="O16" s="30" t="str">
        <x:f t="shared" si="3"/>
      </x:c>
      <x:c r="P16" s="30" t="str">
        <x:f t="shared" si="3"/>
      </x:c>
      <x:c r="Q16" s="31" t="str">
        <x:f t="shared" si="3"/>
      </x:c>
    </x:row>
    <x:row r="17" ht="37.04999923706055" customHeight="1">
      <x:c r="A17" s="4" t="s">
        <x:v>18</x:v>
      </x:c>
      <x:c r="B17" s="4" t="str">
        <x:f>VLOOKUP($A17,Tareas!$A$8:$P$63,4,FALSE)</x:f>
        <x:v>Diseñar pantallas y navegación</x:v>
      </x:c>
      <x:c r="C17" s="4" t="str">
        <x:f>VLOOKUP($A17,Tareas!$A$8:$P$63,5,FALSE)</x:f>
        <x:v>Diego</x:v>
      </x:c>
      <x:c r="D17" s="18" t="n">
        <x:f>VLOOKUP($A17,Tareas!$A$8:$P$63,7,FALSE)</x:f>
        <x:v>46265</x:v>
      </x:c>
      <x:c r="E17" s="18" t="n">
        <x:f>VLOOKUP($A17,Tareas!$A$8:$P$63,8,FALSE)</x:f>
        <x:v>46273</x:v>
      </x:c>
      <x:c r="F17" s="4" t="str">
        <x:f>VLOOKUP($A17,Tareas!$A$8:$P$63,11,FALSE)</x:f>
        <x:v>Por confirmar</x:v>
      </x:c>
      <x:c r="G17" s="26" t="str">
        <x:f t="shared" si="3"/>
      </x:c>
      <x:c r="H17" s="27">
        <x:f t="shared" si="3"/>
        <x:v>1</x:v>
      </x:c>
      <x:c r="I17" s="27">
        <x:f t="shared" si="3"/>
        <x:v>1</x:v>
      </x:c>
      <x:c r="J17" s="27" t="str">
        <x:f t="shared" si="3"/>
      </x:c>
      <x:c r="K17" s="27" t="str">
        <x:f t="shared" si="3"/>
      </x:c>
      <x:c r="L17" s="27" t="str">
        <x:f t="shared" si="3"/>
      </x:c>
      <x:c r="M17" s="27" t="str">
        <x:f t="shared" si="3"/>
      </x:c>
      <x:c r="N17" s="27" t="str">
        <x:f t="shared" si="3"/>
      </x:c>
      <x:c r="O17" s="27" t="str">
        <x:f t="shared" si="3"/>
      </x:c>
      <x:c r="P17" s="27" t="str">
        <x:f t="shared" si="3"/>
      </x:c>
      <x:c r="Q17" s="28" t="str">
        <x:f t="shared" si="3"/>
      </x:c>
    </x:row>
    <x:row r="18" ht="37.04999923706055" customHeight="1">
      <x:c r="A18" s="12" t="s">
        <x:v>19</x:v>
      </x:c>
      <x:c r="B18" s="12" t="str">
        <x:f>VLOOKUP($A18,Tareas!$A$8:$P$63,4,FALSE)</x:f>
        <x:v>Consolidar modelo de datos y arquitectura</x:v>
      </x:c>
      <x:c r="C18" s="12" t="str">
        <x:f>VLOOKUP($A18,Tareas!$A$8:$P$63,5,FALSE)</x:f>
        <x:v>Equipo</x:v>
      </x:c>
      <x:c r="D18" s="19" t="n">
        <x:f>VLOOKUP($A18,Tareas!$A$8:$P$63,7,FALSE)</x:f>
        <x:v>46269</x:v>
      </x:c>
      <x:c r="E18" s="19" t="n">
        <x:f>VLOOKUP($A18,Tareas!$A$8:$P$63,8,FALSE)</x:f>
        <x:v>46274</x:v>
      </x:c>
      <x:c r="F18" s="12" t="str">
        <x:f>VLOOKUP($A18,Tareas!$A$8:$P$63,11,FALSE)</x:f>
        <x:v>Por confirmar</x:v>
      </x:c>
      <x:c r="G18" s="29" t="str">
        <x:f t="shared" si="3"/>
      </x:c>
      <x:c r="H18" s="30">
        <x:f t="shared" si="3"/>
        <x:v>1</x:v>
      </x:c>
      <x:c r="I18" s="30">
        <x:f t="shared" si="3"/>
        <x:v>1</x:v>
      </x:c>
      <x:c r="J18" s="30" t="str">
        <x:f t="shared" si="3"/>
      </x:c>
      <x:c r="K18" s="30" t="str">
        <x:f t="shared" si="3"/>
      </x:c>
      <x:c r="L18" s="30" t="str">
        <x:f t="shared" si="3"/>
      </x:c>
      <x:c r="M18" s="30" t="str">
        <x:f t="shared" si="3"/>
      </x:c>
      <x:c r="N18" s="30" t="str">
        <x:f t="shared" si="3"/>
      </x:c>
      <x:c r="O18" s="30" t="str">
        <x:f t="shared" si="3"/>
      </x:c>
      <x:c r="P18" s="30" t="str">
        <x:f t="shared" si="3"/>
      </x:c>
      <x:c r="Q18" s="31" t="str">
        <x:f t="shared" si="3"/>
      </x:c>
    </x:row>
    <x:row r="19" ht="37.04999923706055" customHeight="1">
      <x:c r="A19" s="4" t="s">
        <x:v>20</x:v>
      </x:c>
      <x:c r="B19" s="4" t="str">
        <x:f>VLOOKUP($A19,Tareas!$A$8:$P$63,4,FALSE)</x:f>
        <x:v>Revisar requisitos y diseño preliminar</x:v>
      </x:c>
      <x:c r="C19" s="4" t="str">
        <x:f>VLOOKUP($A19,Tareas!$A$8:$P$63,5,FALSE)</x:f>
        <x:v>Equipo</x:v>
      </x:c>
      <x:c r="D19" s="18" t="n">
        <x:f>VLOOKUP($A19,Tareas!$A$8:$P$63,7,FALSE)</x:f>
        <x:v>46275</x:v>
      </x:c>
      <x:c r="E19" s="18" t="n">
        <x:f>VLOOKUP($A19,Tareas!$A$8:$P$63,8,FALSE)</x:f>
        <x:v>46276</x:v>
      </x:c>
      <x:c r="F19" s="4" t="str">
        <x:f>VLOOKUP($A19,Tareas!$A$8:$P$63,11,FALSE)</x:f>
        <x:v>Por confirmar</x:v>
      </x:c>
      <x:c r="G19" s="26" t="str">
        <x:f t="shared" si="3"/>
      </x:c>
      <x:c r="H19" s="27" t="str">
        <x:f t="shared" si="3"/>
      </x:c>
      <x:c r="I19" s="27">
        <x:f t="shared" si="3"/>
        <x:v>1</x:v>
      </x:c>
      <x:c r="J19" s="27" t="str">
        <x:f t="shared" si="3"/>
      </x:c>
      <x:c r="K19" s="27" t="str">
        <x:f t="shared" si="3"/>
      </x:c>
      <x:c r="L19" s="27" t="str">
        <x:f t="shared" si="3"/>
      </x:c>
      <x:c r="M19" s="27" t="str">
        <x:f t="shared" si="3"/>
      </x:c>
      <x:c r="N19" s="27" t="str">
        <x:f t="shared" si="3"/>
      </x:c>
      <x:c r="O19" s="27" t="str">
        <x:f t="shared" si="3"/>
      </x:c>
      <x:c r="P19" s="27" t="str">
        <x:f t="shared" si="3"/>
      </x:c>
      <x:c r="Q19" s="28" t="str">
        <x:f t="shared" si="3"/>
      </x:c>
    </x:row>
    <x:row r="20" ht="37.04999923706055" customHeight="1">
      <x:c r="A20" s="16" t="str">
        <x:f>'Entregas y equipo'!A10</x:f>
        <x:v>S2</x:v>
      </x:c>
      <x:c r="B20" s="16" t="str">
        <x:f>'Entregas y equipo'!B10</x:f>
        <x:v>Avance funcional 1 (30%)</x:v>
      </x:c>
      <x:c r="C20" s="16" t="str">
        <x:f>"Equipo"</x:f>
        <x:v>Equipo</x:v>
      </x:c>
      <x:c r="D20" s="17" t="n">
        <x:f>'Entregas y equipo'!C10</x:f>
        <x:v>46277</x:v>
      </x:c>
      <x:c r="E20" s="17" t="n">
        <x:f>'Entregas y equipo'!D10</x:f>
        <x:v>46290</x:v>
      </x:c>
      <x:c r="F20" s="16" t="str">
        <x:f>"Hito previsto"</x:f>
        <x:v>Hito previsto</x:v>
      </x:c>
      <x:c r="G20" s="23" t="str">
        <x:f t="shared" ref="G20:Q20" si="4">IF(AND(G$7&lt;=$E20,G$7+6&gt;=$E20),"H",IF(AND(G$7&lt;=$E20,G$7+6&gt;=$D20),1,""))</x:f>
      </x:c>
      <x:c r="H20" s="24" t="str">
        <x:f t="shared" si="4"/>
      </x:c>
      <x:c r="I20" s="24">
        <x:f t="shared" si="4"/>
        <x:v>1</x:v>
      </x:c>
      <x:c r="J20" s="24">
        <x:f t="shared" si="4"/>
        <x:v>1</x:v>
      </x:c>
      <x:c r="K20" s="24" t="str">
        <x:f t="shared" si="4"/>
        <x:v>H</x:v>
      </x:c>
      <x:c r="L20" s="24" t="str">
        <x:f t="shared" si="4"/>
      </x:c>
      <x:c r="M20" s="24" t="str">
        <x:f t="shared" si="4"/>
      </x:c>
      <x:c r="N20" s="24" t="str">
        <x:f t="shared" si="4"/>
      </x:c>
      <x:c r="O20" s="24" t="str">
        <x:f t="shared" si="4"/>
      </x:c>
      <x:c r="P20" s="24" t="str">
        <x:f t="shared" si="4"/>
      </x:c>
      <x:c r="Q20" s="25" t="str">
        <x:f t="shared" si="4"/>
      </x:c>
    </x:row>
    <x:row r="21" ht="37.04999923706055" customHeight="1">
      <x:c r="A21" s="4" t="s">
        <x:v>21</x:v>
      </x:c>
      <x:c r="B21" s="4" t="str">
        <x:f>VLOOKUP($A21,Tareas!$A$8:$P$63,4,FALSE)</x:f>
        <x:v>Preparar esqueleto y esquema inicial</x:v>
      </x:c>
      <x:c r="C21" s="4" t="str">
        <x:f>VLOOKUP($A21,Tareas!$A$8:$P$63,5,FALSE)</x:f>
        <x:v>Equipo</x:v>
      </x:c>
      <x:c r="D21" s="18" t="n">
        <x:f>VLOOKUP($A21,Tareas!$A$8:$P$63,7,FALSE)</x:f>
        <x:v>46286</x:v>
      </x:c>
      <x:c r="E21" s="18" t="n">
        <x:f>VLOOKUP($A21,Tareas!$A$8:$P$63,8,FALSE)</x:f>
        <x:v>46286</x:v>
      </x:c>
      <x:c r="F21" s="4" t="str">
        <x:f>VLOOKUP($A21,Tareas!$A$8:$P$63,11,FALSE)</x:f>
        <x:v>Base verificada</x:v>
      </x:c>
      <x:c r="G21" s="26" t="str">
        <x:f t="shared" ref="G21:Q30" si="5">IF(AND(G$7&lt;=$E21,G$7+6&gt;=$D21),1,"")</x:f>
      </x:c>
      <x:c r="H21" s="27" t="str">
        <x:f t="shared" si="5"/>
      </x:c>
      <x:c r="I21" s="27" t="str">
        <x:f t="shared" si="5"/>
      </x:c>
      <x:c r="J21" s="27" t="str">
        <x:f t="shared" si="5"/>
      </x:c>
      <x:c r="K21" s="27">
        <x:f t="shared" si="5"/>
        <x:v>1</x:v>
      </x:c>
      <x:c r="L21" s="27" t="str">
        <x:f t="shared" si="5"/>
      </x:c>
      <x:c r="M21" s="27" t="str">
        <x:f t="shared" si="5"/>
      </x:c>
      <x:c r="N21" s="27" t="str">
        <x:f t="shared" si="5"/>
      </x:c>
      <x:c r="O21" s="27" t="str">
        <x:f t="shared" si="5"/>
      </x:c>
      <x:c r="P21" s="27" t="str">
        <x:f t="shared" si="5"/>
      </x:c>
      <x:c r="Q21" s="28" t="str">
        <x:f t="shared" si="5"/>
      </x:c>
    </x:row>
    <x:row r="22" ht="37.04999923706055" customHeight="1">
      <x:c r="A22" s="12" t="s">
        <x:v>22</x:v>
      </x:c>
      <x:c r="B22" s="12" t="str">
        <x:f>VLOOKUP($A22,Tareas!$A$8:$P$63,4,FALSE)</x:f>
        <x:v>Implementar registro y hash seguro</x:v>
      </x:c>
      <x:c r="C22" s="12" t="str">
        <x:f>VLOOKUP($A22,Tareas!$A$8:$P$63,5,FALSE)</x:f>
        <x:v>Andy</x:v>
      </x:c>
      <x:c r="D22" s="19" t="n">
        <x:f>VLOOKUP($A22,Tareas!$A$8:$P$63,7,FALSE)</x:f>
        <x:v>46288</x:v>
      </x:c>
      <x:c r="E22" s="19" t="n">
        <x:f>VLOOKUP($A22,Tareas!$A$8:$P$63,8,FALSE)</x:f>
        <x:v>46288</x:v>
      </x:c>
      <x:c r="F22" s="12" t="str">
        <x:f>VLOOKUP($A22,Tareas!$A$8:$P$63,11,FALSE)</x:f>
        <x:v>Verificada</x:v>
      </x:c>
      <x:c r="G22" s="29" t="str">
        <x:f t="shared" si="5"/>
      </x:c>
      <x:c r="H22" s="30" t="str">
        <x:f t="shared" si="5"/>
      </x:c>
      <x:c r="I22" s="30" t="str">
        <x:f t="shared" si="5"/>
      </x:c>
      <x:c r="J22" s="30" t="str">
        <x:f t="shared" si="5"/>
      </x:c>
      <x:c r="K22" s="30">
        <x:f t="shared" si="5"/>
        <x:v>1</x:v>
      </x:c>
      <x:c r="L22" s="30" t="str">
        <x:f t="shared" si="5"/>
      </x:c>
      <x:c r="M22" s="30" t="str">
        <x:f t="shared" si="5"/>
      </x:c>
      <x:c r="N22" s="30" t="str">
        <x:f t="shared" si="5"/>
      </x:c>
      <x:c r="O22" s="30" t="str">
        <x:f t="shared" si="5"/>
      </x:c>
      <x:c r="P22" s="30" t="str">
        <x:f t="shared" si="5"/>
      </x:c>
      <x:c r="Q22" s="31" t="str">
        <x:f t="shared" si="5"/>
      </x:c>
    </x:row>
    <x:row r="23" ht="37.04999923706055" customHeight="1">
      <x:c r="A23" s="4" t="s">
        <x:v>23</x:v>
      </x:c>
      <x:c r="B23" s="4" t="str">
        <x:f>VLOOKUP($A23,Tareas!$A$8:$P$63,4,FALSE)</x:f>
        <x:v>Implementar login, JWT y protección</x:v>
      </x:c>
      <x:c r="C23" s="4" t="str">
        <x:f>VLOOKUP($A23,Tareas!$A$8:$P$63,5,FALSE)</x:f>
        <x:v>Andy</x:v>
      </x:c>
      <x:c r="D23" s="18" t="n">
        <x:f>VLOOKUP($A23,Tareas!$A$8:$P$63,7,FALSE)</x:f>
        <x:v>46289</x:v>
      </x:c>
      <x:c r="E23" s="18" t="n">
        <x:f>VLOOKUP($A23,Tareas!$A$8:$P$63,8,FALSE)</x:f>
        <x:v>46289</x:v>
      </x:c>
      <x:c r="F23" s="4" t="str">
        <x:f>VLOOKUP($A23,Tareas!$A$8:$P$63,11,FALSE)</x:f>
        <x:v>Verificada</x:v>
      </x:c>
      <x:c r="G23" s="26" t="str">
        <x:f t="shared" si="5"/>
      </x:c>
      <x:c r="H23" s="27" t="str">
        <x:f t="shared" si="5"/>
      </x:c>
      <x:c r="I23" s="27" t="str">
        <x:f t="shared" si="5"/>
      </x:c>
      <x:c r="J23" s="27" t="str">
        <x:f t="shared" si="5"/>
      </x:c>
      <x:c r="K23" s="27">
        <x:f t="shared" si="5"/>
        <x:v>1</x:v>
      </x:c>
      <x:c r="L23" s="27" t="str">
        <x:f t="shared" si="5"/>
      </x:c>
      <x:c r="M23" s="27" t="str">
        <x:f t="shared" si="5"/>
      </x:c>
      <x:c r="N23" s="27" t="str">
        <x:f t="shared" si="5"/>
      </x:c>
      <x:c r="O23" s="27" t="str">
        <x:f t="shared" si="5"/>
      </x:c>
      <x:c r="P23" s="27" t="str">
        <x:f t="shared" si="5"/>
      </x:c>
      <x:c r="Q23" s="28" t="str">
        <x:f t="shared" si="5"/>
      </x:c>
    </x:row>
    <x:row r="24" ht="37.04999923706055" customHeight="1">
      <x:c r="A24" s="12" t="s">
        <x:v>24</x:v>
      </x:c>
      <x:c r="B24" s="12" t="str">
        <x:f>VLOOKUP($A24,Tareas!$A$8:$P$63,4,FALSE)</x:f>
        <x:v>Revisar catálogo y contrato de Free</x:v>
      </x:c>
      <x:c r="C24" s="12" t="str">
        <x:f>VLOOKUP($A24,Tareas!$A$8:$P$63,5,FALSE)</x:f>
        <x:v>Elden</x:v>
      </x:c>
      <x:c r="D24" s="19" t="n">
        <x:f>VLOOKUP($A24,Tareas!$A$8:$P$63,7,FALSE)</x:f>
        <x:v>46288</x:v>
      </x:c>
      <x:c r="E24" s="19" t="n">
        <x:f>VLOOKUP($A24,Tareas!$A$8:$P$63,8,FALSE)</x:f>
        <x:v>46288</x:v>
      </x:c>
      <x:c r="F24" s="12" t="str">
        <x:f>VLOOKUP($A24,Tareas!$A$8:$P$63,11,FALSE)</x:f>
        <x:v>Verificada</x:v>
      </x:c>
      <x:c r="G24" s="29" t="str">
        <x:f t="shared" si="5"/>
      </x:c>
      <x:c r="H24" s="30" t="str">
        <x:f t="shared" si="5"/>
      </x:c>
      <x:c r="I24" s="30" t="str">
        <x:f t="shared" si="5"/>
      </x:c>
      <x:c r="J24" s="30" t="str">
        <x:f t="shared" si="5"/>
      </x:c>
      <x:c r="K24" s="30">
        <x:f t="shared" si="5"/>
        <x:v>1</x:v>
      </x:c>
      <x:c r="L24" s="30" t="str">
        <x:f t="shared" si="5"/>
      </x:c>
      <x:c r="M24" s="30" t="str">
        <x:f t="shared" si="5"/>
      </x:c>
      <x:c r="N24" s="30" t="str">
        <x:f t="shared" si="5"/>
      </x:c>
      <x:c r="O24" s="30" t="str">
        <x:f t="shared" si="5"/>
      </x:c>
      <x:c r="P24" s="30" t="str">
        <x:f t="shared" si="5"/>
      </x:c>
      <x:c r="Q24" s="31" t="str">
        <x:f t="shared" si="5"/>
      </x:c>
    </x:row>
    <x:row r="25" ht="37.04999923706055" customHeight="1">
      <x:c r="A25" s="4" t="s">
        <x:v>25</x:v>
      </x:c>
      <x:c r="B25" s="4" t="str">
        <x:f>VLOOKUP($A25,Tareas!$A$8:$P$63,4,FALSE)</x:f>
        <x:v>Asignar Free al registrar</x:v>
      </x:c>
      <x:c r="C25" s="4" t="str">
        <x:f>VLOOKUP($A25,Tareas!$A$8:$P$63,5,FALSE)</x:f>
        <x:v>Elden</x:v>
      </x:c>
      <x:c r="D25" s="18" t="n">
        <x:f>VLOOKUP($A25,Tareas!$A$8:$P$63,7,FALSE)</x:f>
        <x:v>46289</x:v>
      </x:c>
      <x:c r="E25" s="18" t="n">
        <x:f>VLOOKUP($A25,Tareas!$A$8:$P$63,8,FALSE)</x:f>
        <x:v>46289</x:v>
      </x:c>
      <x:c r="F25" s="4" t="str">
        <x:f>VLOOKUP($A25,Tareas!$A$8:$P$63,11,FALSE)</x:f>
        <x:v>Hecha</x:v>
      </x:c>
      <x:c r="G25" s="26" t="str">
        <x:f t="shared" si="5"/>
      </x:c>
      <x:c r="H25" s="27" t="str">
        <x:f t="shared" si="5"/>
      </x:c>
      <x:c r="I25" s="27" t="str">
        <x:f t="shared" si="5"/>
      </x:c>
      <x:c r="J25" s="27" t="str">
        <x:f t="shared" si="5"/>
      </x:c>
      <x:c r="K25" s="27">
        <x:f t="shared" si="5"/>
        <x:v>1</x:v>
      </x:c>
      <x:c r="L25" s="27" t="str">
        <x:f t="shared" si="5"/>
      </x:c>
      <x:c r="M25" s="27" t="str">
        <x:f t="shared" si="5"/>
      </x:c>
      <x:c r="N25" s="27" t="str">
        <x:f t="shared" si="5"/>
      </x:c>
      <x:c r="O25" s="27" t="str">
        <x:f t="shared" si="5"/>
      </x:c>
      <x:c r="P25" s="27" t="str">
        <x:f t="shared" si="5"/>
      </x:c>
      <x:c r="Q25" s="28" t="str">
        <x:f t="shared" si="5"/>
      </x:c>
    </x:row>
    <x:row r="26" ht="37.04999923706055" customHeight="1">
      <x:c r="A26" s="12" t="s">
        <x:v>26</x:v>
      </x:c>
      <x:c r="B26" s="12" t="str">
        <x:f>VLOOKUP($A26,Tareas!$A$8:$P$63,4,FALSE)</x:f>
        <x:v>Aplicar capacidad y límites diarios</x:v>
      </x:c>
      <x:c r="C26" s="12" t="str">
        <x:f>VLOOKUP($A26,Tareas!$A$8:$P$63,5,FALSE)</x:f>
        <x:v>Elden</x:v>
      </x:c>
      <x:c r="D26" s="19" t="n">
        <x:f>VLOOKUP($A26,Tareas!$A$8:$P$63,7,FALSE)</x:f>
        <x:v>46289</x:v>
      </x:c>
      <x:c r="E26" s="19" t="n">
        <x:f>VLOOKUP($A26,Tareas!$A$8:$P$63,8,FALSE)</x:f>
        <x:v>46289</x:v>
      </x:c>
      <x:c r="F26" s="12" t="str">
        <x:f>VLOOKUP($A26,Tareas!$A$8:$P$63,11,FALSE)</x:f>
        <x:v>Verificada</x:v>
      </x:c>
      <x:c r="G26" s="29" t="str">
        <x:f t="shared" si="5"/>
      </x:c>
      <x:c r="H26" s="30" t="str">
        <x:f t="shared" si="5"/>
      </x:c>
      <x:c r="I26" s="30" t="str">
        <x:f t="shared" si="5"/>
      </x:c>
      <x:c r="J26" s="30" t="str">
        <x:f t="shared" si="5"/>
      </x:c>
      <x:c r="K26" s="30">
        <x:f t="shared" si="5"/>
        <x:v>1</x:v>
      </x:c>
      <x:c r="L26" s="30" t="str">
        <x:f t="shared" si="5"/>
      </x:c>
      <x:c r="M26" s="30" t="str">
        <x:f t="shared" si="5"/>
      </x:c>
      <x:c r="N26" s="30" t="str">
        <x:f t="shared" si="5"/>
      </x:c>
      <x:c r="O26" s="30" t="str">
        <x:f t="shared" si="5"/>
      </x:c>
      <x:c r="P26" s="30" t="str">
        <x:f t="shared" si="5"/>
      </x:c>
      <x:c r="Q26" s="31" t="str">
        <x:f t="shared" si="5"/>
      </x:c>
    </x:row>
    <x:row r="27" ht="37.04999923706055" customHeight="1">
      <x:c r="A27" s="4" t="s">
        <x:v>27</x:v>
      </x:c>
      <x:c r="B27" s="4" t="str">
        <x:f>VLOOKUP($A27,Tareas!$A$8:$P$63,4,FALSE)</x:f>
        <x:v>Validar archivo y calcular SHA-256</x:v>
      </x:c>
      <x:c r="C27" s="4" t="str">
        <x:f>VLOOKUP($A27,Tareas!$A$8:$P$63,5,FALSE)</x:f>
        <x:v>Geovanny</x:v>
      </x:c>
      <x:c r="D27" s="18" t="n">
        <x:f>VLOOKUP($A27,Tareas!$A$8:$P$63,7,FALSE)</x:f>
        <x:v>46288</x:v>
      </x:c>
      <x:c r="E27" s="18" t="n">
        <x:f>VLOOKUP($A27,Tareas!$A$8:$P$63,8,FALSE)</x:f>
        <x:v>46288</x:v>
      </x:c>
      <x:c r="F27" s="4" t="str">
        <x:f>VLOOKUP($A27,Tareas!$A$8:$P$63,11,FALSE)</x:f>
        <x:v>Verificada</x:v>
      </x:c>
      <x:c r="G27" s="26" t="str">
        <x:f t="shared" si="5"/>
      </x:c>
      <x:c r="H27" s="27" t="str">
        <x:f t="shared" si="5"/>
      </x:c>
      <x:c r="I27" s="27" t="str">
        <x:f t="shared" si="5"/>
      </x:c>
      <x:c r="J27" s="27" t="str">
        <x:f t="shared" si="5"/>
      </x:c>
      <x:c r="K27" s="27">
        <x:f t="shared" si="5"/>
        <x:v>1</x:v>
      </x:c>
      <x:c r="L27" s="27" t="str">
        <x:f t="shared" si="5"/>
      </x:c>
      <x:c r="M27" s="27" t="str">
        <x:f t="shared" si="5"/>
      </x:c>
      <x:c r="N27" s="27" t="str">
        <x:f t="shared" si="5"/>
      </x:c>
      <x:c r="O27" s="27" t="str">
        <x:f t="shared" si="5"/>
      </x:c>
      <x:c r="P27" s="27" t="str">
        <x:f t="shared" si="5"/>
      </x:c>
      <x:c r="Q27" s="28" t="str">
        <x:f t="shared" si="5"/>
      </x:c>
    </x:row>
    <x:row r="28" ht="37.04999923706055" customHeight="1">
      <x:c r="A28" s="12" t="s">
        <x:v>28</x:v>
      </x:c>
      <x:c r="B28" s="12" t="str">
        <x:f>VLOOKUP($A28,Tareas!$A$8:$P$63,4,FALSE)</x:f>
        <x:v>Convertir a WebP y limpiar temporales</x:v>
      </x:c>
      <x:c r="C28" s="12" t="str">
        <x:f>VLOOKUP($A28,Tareas!$A$8:$P$63,5,FALSE)</x:f>
        <x:v>Geovanny</x:v>
      </x:c>
      <x:c r="D28" s="19" t="n">
        <x:f>VLOOKUP($A28,Tareas!$A$8:$P$63,7,FALSE)</x:f>
        <x:v>46289</x:v>
      </x:c>
      <x:c r="E28" s="19" t="n">
        <x:f>VLOOKUP($A28,Tareas!$A$8:$P$63,8,FALSE)</x:f>
        <x:v>46289</x:v>
      </x:c>
      <x:c r="F28" s="12" t="str">
        <x:f>VLOOKUP($A28,Tareas!$A$8:$P$63,11,FALSE)</x:f>
        <x:v>Verificada</x:v>
      </x:c>
      <x:c r="G28" s="29" t="str">
        <x:f t="shared" si="5"/>
      </x:c>
      <x:c r="H28" s="30" t="str">
        <x:f t="shared" si="5"/>
      </x:c>
      <x:c r="I28" s="30" t="str">
        <x:f t="shared" si="5"/>
      </x:c>
      <x:c r="J28" s="30" t="str">
        <x:f t="shared" si="5"/>
      </x:c>
      <x:c r="K28" s="30">
        <x:f t="shared" si="5"/>
        <x:v>1</x:v>
      </x:c>
      <x:c r="L28" s="30" t="str">
        <x:f t="shared" si="5"/>
      </x:c>
      <x:c r="M28" s="30" t="str">
        <x:f t="shared" si="5"/>
      </x:c>
      <x:c r="N28" s="30" t="str">
        <x:f t="shared" si="5"/>
      </x:c>
      <x:c r="O28" s="30" t="str">
        <x:f t="shared" si="5"/>
      </x:c>
      <x:c r="P28" s="30" t="str">
        <x:f t="shared" si="5"/>
      </x:c>
      <x:c r="Q28" s="31" t="str">
        <x:f t="shared" si="5"/>
      </x:c>
    </x:row>
    <x:row r="29" ht="37.04999923706055" customHeight="1">
      <x:c r="A29" s="4" t="s">
        <x:v>29</x:v>
      </x:c>
      <x:c r="B29" s="4" t="str">
        <x:f>VLOOKUP($A29,Tareas!$A$8:$P$63,4,FALSE)</x:f>
        <x:v>Integrar carga y deduplicación global</x:v>
      </x:c>
      <x:c r="C29" s="4" t="str">
        <x:f>VLOOKUP($A29,Tareas!$A$8:$P$63,5,FALSE)</x:f>
        <x:v>Geovanny</x:v>
      </x:c>
      <x:c r="D29" s="18" t="n">
        <x:f>VLOOKUP($A29,Tareas!$A$8:$P$63,7,FALSE)</x:f>
        <x:v>46289</x:v>
      </x:c>
      <x:c r="E29" s="18" t="n">
        <x:f>VLOOKUP($A29,Tareas!$A$8:$P$63,8,FALSE)</x:f>
        <x:v>46289</x:v>
      </x:c>
      <x:c r="F29" s="4" t="str">
        <x:f>VLOOKUP($A29,Tareas!$A$8:$P$63,11,FALSE)</x:f>
        <x:v>Verificada</x:v>
      </x:c>
      <x:c r="G29" s="26" t="str">
        <x:f t="shared" si="5"/>
      </x:c>
      <x:c r="H29" s="27" t="str">
        <x:f t="shared" si="5"/>
      </x:c>
      <x:c r="I29" s="27" t="str">
        <x:f t="shared" si="5"/>
      </x:c>
      <x:c r="J29" s="27" t="str">
        <x:f t="shared" si="5"/>
      </x:c>
      <x:c r="K29" s="27">
        <x:f t="shared" si="5"/>
        <x:v>1</x:v>
      </x:c>
      <x:c r="L29" s="27" t="str">
        <x:f t="shared" si="5"/>
      </x:c>
      <x:c r="M29" s="27" t="str">
        <x:f t="shared" si="5"/>
      </x:c>
      <x:c r="N29" s="27" t="str">
        <x:f t="shared" si="5"/>
      </x:c>
      <x:c r="O29" s="27" t="str">
        <x:f t="shared" si="5"/>
      </x:c>
      <x:c r="P29" s="27" t="str">
        <x:f t="shared" si="5"/>
      </x:c>
      <x:c r="Q29" s="28" t="str">
        <x:f t="shared" si="5"/>
      </x:c>
    </x:row>
    <x:row r="30" ht="37.04999923706055" customHeight="1">
      <x:c r="A30" s="12" t="s">
        <x:v>30</x:v>
      </x:c>
      <x:c r="B30" s="12" t="str">
        <x:f>VLOOKUP($A30,Tareas!$A$8:$P$63,4,FALSE)</x:f>
        <x:v>Proteger galería y descarga WebP</x:v>
      </x:c>
      <x:c r="C30" s="12" t="str">
        <x:f>VLOOKUP($A30,Tareas!$A$8:$P$63,5,FALSE)</x:f>
        <x:v>Geovanny</x:v>
      </x:c>
      <x:c r="D30" s="19" t="n">
        <x:f>VLOOKUP($A30,Tareas!$A$8:$P$63,7,FALSE)</x:f>
        <x:v>46290</x:v>
      </x:c>
      <x:c r="E30" s="19" t="n">
        <x:f>VLOOKUP($A30,Tareas!$A$8:$P$63,8,FALSE)</x:f>
        <x:v>46290</x:v>
      </x:c>
      <x:c r="F30" s="12" t="str">
        <x:f>VLOOKUP($A30,Tareas!$A$8:$P$63,11,FALSE)</x:f>
        <x:v>Verificada</x:v>
      </x:c>
      <x:c r="G30" s="29" t="str">
        <x:f t="shared" si="5"/>
      </x:c>
      <x:c r="H30" s="30" t="str">
        <x:f t="shared" si="5"/>
      </x:c>
      <x:c r="I30" s="30" t="str">
        <x:f t="shared" si="5"/>
      </x:c>
      <x:c r="J30" s="30" t="str">
        <x:f t="shared" si="5"/>
      </x:c>
      <x:c r="K30" s="30">
        <x:f t="shared" si="5"/>
        <x:v>1</x:v>
      </x:c>
      <x:c r="L30" s="30" t="str">
        <x:f t="shared" si="5"/>
      </x:c>
      <x:c r="M30" s="30" t="str">
        <x:f t="shared" si="5"/>
      </x:c>
      <x:c r="N30" s="30" t="str">
        <x:f t="shared" si="5"/>
      </x:c>
      <x:c r="O30" s="30" t="str">
        <x:f t="shared" si="5"/>
      </x:c>
      <x:c r="P30" s="30" t="str">
        <x:f t="shared" si="5"/>
      </x:c>
      <x:c r="Q30" s="31" t="str">
        <x:f t="shared" si="5"/>
      </x:c>
    </x:row>
    <x:row r="31" ht="37.04999923706055" customHeight="1">
      <x:c r="A31" s="4" t="s">
        <x:v>31</x:v>
      </x:c>
      <x:c r="B31" s="4" t="str">
        <x:f>VLOOKUP($A31,Tareas!$A$8:$P$63,4,FALSE)</x:f>
        <x:v>Preparar formularios y estados de interfaz</x:v>
      </x:c>
      <x:c r="C31" s="4" t="str">
        <x:f>VLOOKUP($A31,Tareas!$A$8:$P$63,5,FALSE)</x:f>
        <x:v>Diego</x:v>
      </x:c>
      <x:c r="D31" s="18" t="n">
        <x:f>VLOOKUP($A31,Tareas!$A$8:$P$63,7,FALSE)</x:f>
        <x:v>46288</x:v>
      </x:c>
      <x:c r="E31" s="18" t="n">
        <x:f>VLOOKUP($A31,Tareas!$A$8:$P$63,8,FALSE)</x:f>
        <x:v>46288</x:v>
      </x:c>
      <x:c r="F31" s="4" t="str">
        <x:f>VLOOKUP($A31,Tareas!$A$8:$P$63,11,FALSE)</x:f>
        <x:v>Implementada</x:v>
      </x:c>
      <x:c r="G31" s="26" t="str">
        <x:f t="shared" ref="G31:Q36" si="6">IF(AND(G$7&lt;=$E31,G$7+6&gt;=$D31),1,"")</x:f>
      </x:c>
      <x:c r="H31" s="27" t="str">
        <x:f t="shared" si="6"/>
      </x:c>
      <x:c r="I31" s="27" t="str">
        <x:f t="shared" si="6"/>
      </x:c>
      <x:c r="J31" s="27" t="str">
        <x:f t="shared" si="6"/>
      </x:c>
      <x:c r="K31" s="27">
        <x:f t="shared" si="6"/>
        <x:v>1</x:v>
      </x:c>
      <x:c r="L31" s="27" t="str">
        <x:f t="shared" si="6"/>
      </x:c>
      <x:c r="M31" s="27" t="str">
        <x:f t="shared" si="6"/>
      </x:c>
      <x:c r="N31" s="27" t="str">
        <x:f t="shared" si="6"/>
      </x:c>
      <x:c r="O31" s="27" t="str">
        <x:f t="shared" si="6"/>
      </x:c>
      <x:c r="P31" s="27" t="str">
        <x:f t="shared" si="6"/>
      </x:c>
      <x:c r="Q31" s="28" t="str">
        <x:f t="shared" si="6"/>
      </x:c>
    </x:row>
    <x:row r="32" ht="37.04999923706055" customHeight="1">
      <x:c r="A32" s="12" t="s">
        <x:v>32</x:v>
      </x:c>
      <x:c r="B32" s="12" t="str">
        <x:f>VLOOKUP($A32,Tareas!$A$8:$P$63,4,FALSE)</x:f>
        <x:v>Conectar acceso, Free, carga y galería</x:v>
      </x:c>
      <x:c r="C32" s="12" t="str">
        <x:f>VLOOKUP($A32,Tareas!$A$8:$P$63,5,FALSE)</x:f>
        <x:v>Diego</x:v>
      </x:c>
      <x:c r="D32" s="19" t="n">
        <x:f>VLOOKUP($A32,Tareas!$A$8:$P$63,7,FALSE)</x:f>
        <x:v>46289</x:v>
      </x:c>
      <x:c r="E32" s="19" t="n">
        <x:f>VLOOKUP($A32,Tareas!$A$8:$P$63,8,FALSE)</x:f>
        <x:v>46290</x:v>
      </x:c>
      <x:c r="F32" s="12" t="str">
        <x:f>VLOOKUP($A32,Tareas!$A$8:$P$63,11,FALSE)</x:f>
        <x:v>Implementada</x:v>
      </x:c>
      <x:c r="G32" s="29" t="str">
        <x:f t="shared" si="6"/>
      </x:c>
      <x:c r="H32" s="30" t="str">
        <x:f t="shared" si="6"/>
      </x:c>
      <x:c r="I32" s="30" t="str">
        <x:f t="shared" si="6"/>
      </x:c>
      <x:c r="J32" s="30" t="str">
        <x:f t="shared" si="6"/>
      </x:c>
      <x:c r="K32" s="30">
        <x:f t="shared" si="6"/>
        <x:v>1</x:v>
      </x:c>
      <x:c r="L32" s="30" t="str">
        <x:f t="shared" si="6"/>
      </x:c>
      <x:c r="M32" s="30" t="str">
        <x:f t="shared" si="6"/>
      </x:c>
      <x:c r="N32" s="30" t="str">
        <x:f t="shared" si="6"/>
      </x:c>
      <x:c r="O32" s="30" t="str">
        <x:f t="shared" si="6"/>
      </x:c>
      <x:c r="P32" s="30" t="str">
        <x:f t="shared" si="6"/>
      </x:c>
      <x:c r="Q32" s="31" t="str">
        <x:f t="shared" si="6"/>
      </x:c>
    </x:row>
    <x:row r="33" ht="37.04999923706055" customHeight="1">
      <x:c r="A33" s="4" t="s">
        <x:v>33</x:v>
      </x:c>
      <x:c r="B33" s="4" t="str">
        <x:f>VLOOKUP($A33,Tareas!$A$8:$P$63,4,FALSE)</x:f>
        <x:v>Calcular ahorro básico del administrador</x:v>
      </x:c>
      <x:c r="C33" s="4" t="str">
        <x:f>VLOOKUP($A33,Tareas!$A$8:$P$63,5,FALSE)</x:f>
        <x:v>Geovanny</x:v>
      </x:c>
      <x:c r="D33" s="18" t="n">
        <x:f>VLOOKUP($A33,Tareas!$A$8:$P$63,7,FALSE)</x:f>
        <x:v>46290</x:v>
      </x:c>
      <x:c r="E33" s="18" t="n">
        <x:f>VLOOKUP($A33,Tareas!$A$8:$P$63,8,FALSE)</x:f>
        <x:v>46290</x:v>
      </x:c>
      <x:c r="F33" s="4" t="str">
        <x:f>VLOOKUP($A33,Tareas!$A$8:$P$63,11,FALSE)</x:f>
        <x:v>Verificada</x:v>
      </x:c>
      <x:c r="G33" s="26" t="str">
        <x:f t="shared" si="6"/>
      </x:c>
      <x:c r="H33" s="27" t="str">
        <x:f t="shared" si="6"/>
      </x:c>
      <x:c r="I33" s="27" t="str">
        <x:f t="shared" si="6"/>
      </x:c>
      <x:c r="J33" s="27" t="str">
        <x:f t="shared" si="6"/>
      </x:c>
      <x:c r="K33" s="27">
        <x:f t="shared" si="6"/>
        <x:v>1</x:v>
      </x:c>
      <x:c r="L33" s="27" t="str">
        <x:f t="shared" si="6"/>
      </x:c>
      <x:c r="M33" s="27" t="str">
        <x:f t="shared" si="6"/>
      </x:c>
      <x:c r="N33" s="27" t="str">
        <x:f t="shared" si="6"/>
      </x:c>
      <x:c r="O33" s="27" t="str">
        <x:f t="shared" si="6"/>
      </x:c>
      <x:c r="P33" s="27" t="str">
        <x:f t="shared" si="6"/>
      </x:c>
      <x:c r="Q33" s="28" t="str">
        <x:f t="shared" si="6"/>
      </x:c>
    </x:row>
    <x:row r="34" ht="37.04999923706055" customHeight="1">
      <x:c r="A34" s="12" t="s">
        <x:v>34</x:v>
      </x:c>
      <x:c r="B34" s="12" t="str">
        <x:f>VLOOKUP($A34,Tareas!$A$8:$P$63,4,FALSE)</x:f>
        <x:v>Actualizar requisitos y diagramas</x:v>
      </x:c>
      <x:c r="C34" s="12" t="str">
        <x:f>VLOOKUP($A34,Tareas!$A$8:$P$63,5,FALSE)</x:f>
        <x:v>Equipo</x:v>
      </x:c>
      <x:c r="D34" s="19" t="n">
        <x:f>VLOOKUP($A34,Tareas!$A$8:$P$63,7,FALSE)</x:f>
        <x:v>46288</x:v>
      </x:c>
      <x:c r="E34" s="19" t="n">
        <x:f>VLOOKUP($A34,Tareas!$A$8:$P$63,8,FALSE)</x:f>
        <x:v>46289</x:v>
      </x:c>
      <x:c r="F34" s="12" t="str">
        <x:f>VLOOKUP($A34,Tareas!$A$8:$P$63,11,FALSE)</x:f>
        <x:v>En revisión</x:v>
      </x:c>
      <x:c r="G34" s="29" t="str">
        <x:f t="shared" si="6"/>
      </x:c>
      <x:c r="H34" s="30" t="str">
        <x:f t="shared" si="6"/>
      </x:c>
      <x:c r="I34" s="30" t="str">
        <x:f t="shared" si="6"/>
      </x:c>
      <x:c r="J34" s="30" t="str">
        <x:f t="shared" si="6"/>
      </x:c>
      <x:c r="K34" s="30">
        <x:f t="shared" si="6"/>
        <x:v>1</x:v>
      </x:c>
      <x:c r="L34" s="30" t="str">
        <x:f t="shared" si="6"/>
      </x:c>
      <x:c r="M34" s="30" t="str">
        <x:f t="shared" si="6"/>
      </x:c>
      <x:c r="N34" s="30" t="str">
        <x:f t="shared" si="6"/>
      </x:c>
      <x:c r="O34" s="30" t="str">
        <x:f t="shared" si="6"/>
      </x:c>
      <x:c r="P34" s="30" t="str">
        <x:f t="shared" si="6"/>
      </x:c>
      <x:c r="Q34" s="31" t="str">
        <x:f t="shared" si="6"/>
      </x:c>
    </x:row>
    <x:row r="35" ht="37.04999923706055" customHeight="1">
      <x:c r="A35" s="4" t="s">
        <x:v>35</x:v>
      </x:c>
      <x:c r="B35" s="4" t="str">
        <x:f>VLOOKUP($A35,Tareas!$A$8:$P$63,4,FALSE)</x:f>
        <x:v>Probar flujo del 30% con dos cuentas</x:v>
      </x:c>
      <x:c r="C35" s="4" t="str">
        <x:f>VLOOKUP($A35,Tareas!$A$8:$P$63,5,FALSE)</x:f>
        <x:v>Equipo</x:v>
      </x:c>
      <x:c r="D35" s="18" t="n">
        <x:f>VLOOKUP($A35,Tareas!$A$8:$P$63,7,FALSE)</x:f>
        <x:v>46290</x:v>
      </x:c>
      <x:c r="E35" s="18" t="n">
        <x:f>VLOOKUP($A35,Tareas!$A$8:$P$63,8,FALSE)</x:f>
        <x:v>46290</x:v>
      </x:c>
      <x:c r="F35" s="4" t="str">
        <x:f>VLOOKUP($A35,Tareas!$A$8:$P$63,11,FALSE)</x:f>
        <x:v>Parcial</x:v>
      </x:c>
      <x:c r="G35" s="26" t="str">
        <x:f t="shared" si="6"/>
      </x:c>
      <x:c r="H35" s="27" t="str">
        <x:f t="shared" si="6"/>
      </x:c>
      <x:c r="I35" s="27" t="str">
        <x:f t="shared" si="6"/>
      </x:c>
      <x:c r="J35" s="27" t="str">
        <x:f t="shared" si="6"/>
      </x:c>
      <x:c r="K35" s="27">
        <x:f t="shared" si="6"/>
        <x:v>1</x:v>
      </x:c>
      <x:c r="L35" s="27" t="str">
        <x:f t="shared" si="6"/>
      </x:c>
      <x:c r="M35" s="27" t="str">
        <x:f t="shared" si="6"/>
      </x:c>
      <x:c r="N35" s="27" t="str">
        <x:f t="shared" si="6"/>
      </x:c>
      <x:c r="O35" s="27" t="str">
        <x:f t="shared" si="6"/>
      </x:c>
      <x:c r="P35" s="27" t="str">
        <x:f t="shared" si="6"/>
      </x:c>
      <x:c r="Q35" s="28" t="str">
        <x:f t="shared" si="6"/>
      </x:c>
    </x:row>
    <x:row r="36" ht="37.04999923706055" customHeight="1">
      <x:c r="A36" s="12" t="s">
        <x:v>36</x:v>
      </x:c>
      <x:c r="B36" s="12" t="str">
        <x:f>VLOOKUP($A36,Tareas!$A$8:$P$63,4,FALSE)</x:f>
        <x:v>Corregir, revisar PR y presentar 30%</x:v>
      </x:c>
      <x:c r="C36" s="12" t="str">
        <x:f>VLOOKUP($A36,Tareas!$A$8:$P$63,5,FALSE)</x:f>
        <x:v>Equipo</x:v>
      </x:c>
      <x:c r="D36" s="19" t="n">
        <x:f>VLOOKUP($A36,Tareas!$A$8:$P$63,7,FALSE)</x:f>
        <x:v>46290</x:v>
      </x:c>
      <x:c r="E36" s="19" t="n">
        <x:f>VLOOKUP($A36,Tareas!$A$8:$P$63,8,FALSE)</x:f>
        <x:v>46290</x:v>
      </x:c>
      <x:c r="F36" s="12" t="str">
        <x:f>VLOOKUP($A36,Tareas!$A$8:$P$63,11,FALSE)</x:f>
        <x:v>Pendiente</x:v>
      </x:c>
      <x:c r="G36" s="29" t="str">
        <x:f t="shared" si="6"/>
      </x:c>
      <x:c r="H36" s="30" t="str">
        <x:f t="shared" si="6"/>
      </x:c>
      <x:c r="I36" s="30" t="str">
        <x:f t="shared" si="6"/>
      </x:c>
      <x:c r="J36" s="30" t="str">
        <x:f t="shared" si="6"/>
      </x:c>
      <x:c r="K36" s="30">
        <x:f t="shared" si="6"/>
        <x:v>1</x:v>
      </x:c>
      <x:c r="L36" s="30" t="str">
        <x:f t="shared" si="6"/>
      </x:c>
      <x:c r="M36" s="30" t="str">
        <x:f t="shared" si="6"/>
      </x:c>
      <x:c r="N36" s="30" t="str">
        <x:f t="shared" si="6"/>
      </x:c>
      <x:c r="O36" s="30" t="str">
        <x:f t="shared" si="6"/>
      </x:c>
      <x:c r="P36" s="30" t="str">
        <x:f t="shared" si="6"/>
      </x:c>
      <x:c r="Q36" s="31" t="str">
        <x:f t="shared" si="6"/>
      </x:c>
    </x:row>
    <x:row r="37" ht="37.04999923706055" customHeight="1">
      <x:c r="A37" s="16" t="str">
        <x:f>'Entregas y equipo'!A11</x:f>
        <x:v>S3</x:v>
      </x:c>
      <x:c r="B37" s="16" t="str">
        <x:f>'Entregas y equipo'!B11</x:f>
        <x:v>Avance funcional 2 (50%)</x:v>
      </x:c>
      <x:c r="C37" s="16" t="str">
        <x:f>"Equipo"</x:f>
        <x:v>Equipo</x:v>
      </x:c>
      <x:c r="D37" s="17" t="n">
        <x:f>'Entregas y equipo'!C11</x:f>
        <x:v>46291</x:v>
      </x:c>
      <x:c r="E37" s="17" t="n">
        <x:f>'Entregas y equipo'!D11</x:f>
        <x:v>46304</x:v>
      </x:c>
      <x:c r="F37" s="16" t="str">
        <x:f>"Hito previsto"</x:f>
        <x:v>Hito previsto</x:v>
      </x:c>
      <x:c r="G37" s="23" t="str">
        <x:f t="shared" ref="G37:Q37" si="7">IF(AND(G$7&lt;=$E37,G$7+6&gt;=$E37),"H",IF(AND(G$7&lt;=$E37,G$7+6&gt;=$D37),1,""))</x:f>
      </x:c>
      <x:c r="H37" s="24" t="str">
        <x:f t="shared" si="7"/>
      </x:c>
      <x:c r="I37" s="24" t="str">
        <x:f t="shared" si="7"/>
      </x:c>
      <x:c r="J37" s="24" t="str">
        <x:f t="shared" si="7"/>
      </x:c>
      <x:c r="K37" s="24">
        <x:f t="shared" si="7"/>
        <x:v>1</x:v>
      </x:c>
      <x:c r="L37" s="24">
        <x:f t="shared" si="7"/>
        <x:v>1</x:v>
      </x:c>
      <x:c r="M37" s="24" t="str">
        <x:f t="shared" si="7"/>
        <x:v>H</x:v>
      </x:c>
      <x:c r="N37" s="24" t="str">
        <x:f t="shared" si="7"/>
      </x:c>
      <x:c r="O37" s="24" t="str">
        <x:f t="shared" si="7"/>
      </x:c>
      <x:c r="P37" s="24" t="str">
        <x:f t="shared" si="7"/>
      </x:c>
      <x:c r="Q37" s="25" t="str">
        <x:f t="shared" si="7"/>
      </x:c>
    </x:row>
    <x:row r="38" ht="37.04999923706055" customHeight="1">
      <x:c r="A38" s="12" t="s">
        <x:v>37</x:v>
      </x:c>
      <x:c r="B38" s="12" t="str">
        <x:f>VLOOKUP($A38,Tareas!$A$8:$P$63,4,FALSE)</x:f>
        <x:v>Implementar verificación de correo</x:v>
      </x:c>
      <x:c r="C38" s="12" t="str">
        <x:f>VLOOKUP($A38,Tareas!$A$8:$P$63,5,FALSE)</x:f>
        <x:v>Andy</x:v>
      </x:c>
      <x:c r="D38" s="19" t="n">
        <x:f>VLOOKUP($A38,Tareas!$A$8:$P$63,7,FALSE)</x:f>
        <x:v>46293</x:v>
      </x:c>
      <x:c r="E38" s="19" t="n">
        <x:f>VLOOKUP($A38,Tareas!$A$8:$P$63,8,FALSE)</x:f>
        <x:v>46295</x:v>
      </x:c>
      <x:c r="F38" s="12" t="str">
        <x:f>VLOOKUP($A38,Tareas!$A$8:$P$63,11,FALSE)</x:f>
        <x:v>Planificada</x:v>
      </x:c>
      <x:c r="G38" s="29" t="str">
        <x:f t="shared" ref="G38:Q49" si="8">IF(AND(G$7&lt;=$E38,G$7+6&gt;=$D38),1,"")</x:f>
      </x:c>
      <x:c r="H38" s="30" t="str">
        <x:f t="shared" si="8"/>
      </x:c>
      <x:c r="I38" s="30" t="str">
        <x:f t="shared" si="8"/>
      </x:c>
      <x:c r="J38" s="30" t="str">
        <x:f t="shared" si="8"/>
      </x:c>
      <x:c r="K38" s="30" t="str">
        <x:f t="shared" si="8"/>
      </x:c>
      <x:c r="L38" s="30">
        <x:f t="shared" si="8"/>
        <x:v>1</x:v>
      </x:c>
      <x:c r="M38" s="30" t="str">
        <x:f t="shared" si="8"/>
      </x:c>
      <x:c r="N38" s="30" t="str">
        <x:f t="shared" si="8"/>
      </x:c>
      <x:c r="O38" s="30" t="str">
        <x:f t="shared" si="8"/>
      </x:c>
      <x:c r="P38" s="30" t="str">
        <x:f t="shared" si="8"/>
      </x:c>
      <x:c r="Q38" s="31" t="str">
        <x:f t="shared" si="8"/>
      </x:c>
    </x:row>
    <x:row r="39" ht="37.04999923706055" customHeight="1">
      <x:c r="A39" s="4" t="s">
        <x:v>38</x:v>
      </x:c>
      <x:c r="B39" s="4" t="str">
        <x:f>VLOOKUP($A39,Tareas!$A$8:$P$63,4,FALSE)</x:f>
        <x:v>Recuperar y cambiar contraseña</x:v>
      </x:c>
      <x:c r="C39" s="4" t="str">
        <x:f>VLOOKUP($A39,Tareas!$A$8:$P$63,5,FALSE)</x:f>
        <x:v>Andy</x:v>
      </x:c>
      <x:c r="D39" s="18" t="n">
        <x:f>VLOOKUP($A39,Tareas!$A$8:$P$63,7,FALSE)</x:f>
        <x:v>46296</x:v>
      </x:c>
      <x:c r="E39" s="18" t="n">
        <x:f>VLOOKUP($A39,Tareas!$A$8:$P$63,8,FALSE)</x:f>
        <x:v>46300</x:v>
      </x:c>
      <x:c r="F39" s="4" t="str">
        <x:f>VLOOKUP($A39,Tareas!$A$8:$P$63,11,FALSE)</x:f>
        <x:v>Planificada</x:v>
      </x:c>
      <x:c r="G39" s="26" t="str">
        <x:f t="shared" si="8"/>
      </x:c>
      <x:c r="H39" s="27" t="str">
        <x:f t="shared" si="8"/>
      </x:c>
      <x:c r="I39" s="27" t="str">
        <x:f t="shared" si="8"/>
      </x:c>
      <x:c r="J39" s="27" t="str">
        <x:f t="shared" si="8"/>
      </x:c>
      <x:c r="K39" s="27" t="str">
        <x:f t="shared" si="8"/>
      </x:c>
      <x:c r="L39" s="27">
        <x:f t="shared" si="8"/>
        <x:v>1</x:v>
      </x:c>
      <x:c r="M39" s="27">
        <x:f t="shared" si="8"/>
        <x:v>1</x:v>
      </x:c>
      <x:c r="N39" s="27" t="str">
        <x:f t="shared" si="8"/>
      </x:c>
      <x:c r="O39" s="27" t="str">
        <x:f t="shared" si="8"/>
      </x:c>
      <x:c r="P39" s="27" t="str">
        <x:f t="shared" si="8"/>
      </x:c>
      <x:c r="Q39" s="28" t="str">
        <x:f t="shared" si="8"/>
      </x:c>
    </x:row>
    <x:row r="40" ht="37.04999923706055" customHeight="1">
      <x:c r="A40" s="12" t="s">
        <x:v>39</x:v>
      </x:c>
      <x:c r="B40" s="12" t="str">
        <x:f>VLOOKUP($A40,Tareas!$A$8:$P$63,4,FALSE)</x:f>
        <x:v>Completar sesiones revocables y logout</x:v>
      </x:c>
      <x:c r="C40" s="12" t="str">
        <x:f>VLOOKUP($A40,Tareas!$A$8:$P$63,5,FALSE)</x:f>
        <x:v>Andy</x:v>
      </x:c>
      <x:c r="D40" s="19" t="n">
        <x:f>VLOOKUP($A40,Tareas!$A$8:$P$63,7,FALSE)</x:f>
        <x:v>46301</x:v>
      </x:c>
      <x:c r="E40" s="19" t="n">
        <x:f>VLOOKUP($A40,Tareas!$A$8:$P$63,8,FALSE)</x:f>
        <x:v>46302</x:v>
      </x:c>
      <x:c r="F40" s="12" t="str">
        <x:f>VLOOKUP($A40,Tareas!$A$8:$P$63,11,FALSE)</x:f>
        <x:v>Implementada</x:v>
      </x:c>
      <x:c r="G40" s="29" t="str">
        <x:f t="shared" si="8"/>
      </x:c>
      <x:c r="H40" s="30" t="str">
        <x:f t="shared" si="8"/>
      </x:c>
      <x:c r="I40" s="30" t="str">
        <x:f t="shared" si="8"/>
      </x:c>
      <x:c r="J40" s="30" t="str">
        <x:f t="shared" si="8"/>
      </x:c>
      <x:c r="K40" s="30" t="str">
        <x:f t="shared" si="8"/>
      </x:c>
      <x:c r="L40" s="30" t="str">
        <x:f t="shared" si="8"/>
      </x:c>
      <x:c r="M40" s="30">
        <x:f t="shared" si="8"/>
        <x:v>1</x:v>
      </x:c>
      <x:c r="N40" s="30" t="str">
        <x:f t="shared" si="8"/>
      </x:c>
      <x:c r="O40" s="30" t="str">
        <x:f t="shared" si="8"/>
      </x:c>
      <x:c r="P40" s="30" t="str">
        <x:f t="shared" si="8"/>
      </x:c>
      <x:c r="Q40" s="31" t="str">
        <x:f t="shared" si="8"/>
      </x:c>
    </x:row>
    <x:row r="41" ht="37.04999923706055" customHeight="1">
      <x:c r="A41" s="4" t="s">
        <x:v>40</x:v>
      </x:c>
      <x:c r="B41" s="4" t="str">
        <x:f>VLOOKUP($A41,Tareas!$A$8:$P$63,4,FALSE)</x:f>
        <x:v>Implementar Redis, BullMQ y worker Sharp</x:v>
      </x:c>
      <x:c r="C41" s="4" t="str">
        <x:f>VLOOKUP($A41,Tareas!$A$8:$P$63,5,FALSE)</x:f>
        <x:v>Geovanny</x:v>
      </x:c>
      <x:c r="D41" s="18" t="n">
        <x:f>VLOOKUP($A41,Tareas!$A$8:$P$63,7,FALSE)</x:f>
        <x:v>46293</x:v>
      </x:c>
      <x:c r="E41" s="18" t="n">
        <x:f>VLOOKUP($A41,Tareas!$A$8:$P$63,8,FALSE)</x:f>
        <x:v>46296</x:v>
      </x:c>
      <x:c r="F41" s="4" t="str">
        <x:f>VLOOKUP($A41,Tareas!$A$8:$P$63,11,FALSE)</x:f>
        <x:v>Planificada</x:v>
      </x:c>
      <x:c r="G41" s="26" t="str">
        <x:f t="shared" si="8"/>
      </x:c>
      <x:c r="H41" s="27" t="str">
        <x:f t="shared" si="8"/>
      </x:c>
      <x:c r="I41" s="27" t="str">
        <x:f t="shared" si="8"/>
      </x:c>
      <x:c r="J41" s="27" t="str">
        <x:f t="shared" si="8"/>
      </x:c>
      <x:c r="K41" s="27" t="str">
        <x:f t="shared" si="8"/>
      </x:c>
      <x:c r="L41" s="27">
        <x:f t="shared" si="8"/>
        <x:v>1</x:v>
      </x:c>
      <x:c r="M41" s="27" t="str">
        <x:f t="shared" si="8"/>
      </x:c>
      <x:c r="N41" s="27" t="str">
        <x:f t="shared" si="8"/>
      </x:c>
      <x:c r="O41" s="27" t="str">
        <x:f t="shared" si="8"/>
      </x:c>
      <x:c r="P41" s="27" t="str">
        <x:f t="shared" si="8"/>
      </x:c>
      <x:c r="Q41" s="28" t="str">
        <x:f t="shared" si="8"/>
      </x:c>
    </x:row>
    <x:row r="42" ht="37.04999923706055" customHeight="1">
      <x:c r="A42" s="12" t="s">
        <x:v>41</x:v>
      </x:c>
      <x:c r="B42" s="12" t="str">
        <x:f>VLOOKUP($A42,Tareas!$A$8:$P$63,4,FALSE)</x:f>
        <x:v>Añadir reintentos y recuperación de trabajos</x:v>
      </x:c>
      <x:c r="C42" s="12" t="str">
        <x:f>VLOOKUP($A42,Tareas!$A$8:$P$63,5,FALSE)</x:f>
        <x:v>Geovanny</x:v>
      </x:c>
      <x:c r="D42" s="19" t="n">
        <x:f>VLOOKUP($A42,Tareas!$A$8:$P$63,7,FALSE)</x:f>
        <x:v>46297</x:v>
      </x:c>
      <x:c r="E42" s="19" t="n">
        <x:f>VLOOKUP($A42,Tareas!$A$8:$P$63,8,FALSE)</x:f>
        <x:v>46300</x:v>
      </x:c>
      <x:c r="F42" s="12" t="str">
        <x:f>VLOOKUP($A42,Tareas!$A$8:$P$63,11,FALSE)</x:f>
        <x:v>Planificada</x:v>
      </x:c>
      <x:c r="G42" s="29" t="str">
        <x:f t="shared" si="8"/>
      </x:c>
      <x:c r="H42" s="30" t="str">
        <x:f t="shared" si="8"/>
      </x:c>
      <x:c r="I42" s="30" t="str">
        <x:f t="shared" si="8"/>
      </x:c>
      <x:c r="J42" s="30" t="str">
        <x:f t="shared" si="8"/>
      </x:c>
      <x:c r="K42" s="30" t="str">
        <x:f t="shared" si="8"/>
      </x:c>
      <x:c r="L42" s="30">
        <x:f t="shared" si="8"/>
        <x:v>1</x:v>
      </x:c>
      <x:c r="M42" s="30">
        <x:f t="shared" si="8"/>
        <x:v>1</x:v>
      </x:c>
      <x:c r="N42" s="30" t="str">
        <x:f t="shared" si="8"/>
      </x:c>
      <x:c r="O42" s="30" t="str">
        <x:f t="shared" si="8"/>
      </x:c>
      <x:c r="P42" s="30" t="str">
        <x:f t="shared" si="8"/>
      </x:c>
      <x:c r="Q42" s="31" t="str">
        <x:f t="shared" si="8"/>
      </x:c>
    </x:row>
    <x:row r="43" ht="37.04999923706055" customHeight="1">
      <x:c r="A43" s="4" t="s">
        <x:v>42</x:v>
      </x:c>
      <x:c r="B43" s="4" t="str">
        <x:f>VLOOKUP($A43,Tareas!$A$8:$P$63,4,FALSE)</x:f>
        <x:v>Implementar borrado con referencias</x:v>
      </x:c>
      <x:c r="C43" s="4" t="str">
        <x:f>VLOOKUP($A43,Tareas!$A$8:$P$63,5,FALSE)</x:f>
        <x:v>Geovanny</x:v>
      </x:c>
      <x:c r="D43" s="18" t="n">
        <x:f>VLOOKUP($A43,Tareas!$A$8:$P$63,7,FALSE)</x:f>
        <x:v>46301</x:v>
      </x:c>
      <x:c r="E43" s="18" t="n">
        <x:f>VLOOKUP($A43,Tareas!$A$8:$P$63,8,FALSE)</x:f>
        <x:v>46301</x:v>
      </x:c>
      <x:c r="F43" s="4" t="str">
        <x:f>VLOOKUP($A43,Tareas!$A$8:$P$63,11,FALSE)</x:f>
        <x:v>Planificada</x:v>
      </x:c>
      <x:c r="G43" s="26" t="str">
        <x:f t="shared" si="8"/>
      </x:c>
      <x:c r="H43" s="27" t="str">
        <x:f t="shared" si="8"/>
      </x:c>
      <x:c r="I43" s="27" t="str">
        <x:f t="shared" si="8"/>
      </x:c>
      <x:c r="J43" s="27" t="str">
        <x:f t="shared" si="8"/>
      </x:c>
      <x:c r="K43" s="27" t="str">
        <x:f t="shared" si="8"/>
      </x:c>
      <x:c r="L43" s="27" t="str">
        <x:f t="shared" si="8"/>
      </x:c>
      <x:c r="M43" s="27">
        <x:f t="shared" si="8"/>
        <x:v>1</x:v>
      </x:c>
      <x:c r="N43" s="27" t="str">
        <x:f t="shared" si="8"/>
      </x:c>
      <x:c r="O43" s="27" t="str">
        <x:f t="shared" si="8"/>
      </x:c>
      <x:c r="P43" s="27" t="str">
        <x:f t="shared" si="8"/>
      </x:c>
      <x:c r="Q43" s="28" t="str">
        <x:f t="shared" si="8"/>
      </x:c>
    </x:row>
    <x:row r="44" ht="37.04999923706055" customHeight="1">
      <x:c r="A44" s="12" t="s">
        <x:v>43</x:v>
      </x:c>
      <x:c r="B44" s="12" t="str">
        <x:f>VLOOKUP($A44,Tareas!$A$8:$P$63,4,FALSE)</x:f>
        <x:v>Crear álbumes y mover imágenes</x:v>
      </x:c>
      <x:c r="C44" s="12" t="str">
        <x:f>VLOOKUP($A44,Tareas!$A$8:$P$63,5,FALSE)</x:f>
        <x:v>Geovanny</x:v>
      </x:c>
      <x:c r="D44" s="19" t="n">
        <x:f>VLOOKUP($A44,Tareas!$A$8:$P$63,7,FALSE)</x:f>
        <x:v>46302</x:v>
      </x:c>
      <x:c r="E44" s="19" t="n">
        <x:f>VLOOKUP($A44,Tareas!$A$8:$P$63,8,FALSE)</x:f>
        <x:v>46302</x:v>
      </x:c>
      <x:c r="F44" s="12" t="str">
        <x:f>VLOOKUP($A44,Tareas!$A$8:$P$63,11,FALSE)</x:f>
        <x:v>Planificada</x:v>
      </x:c>
      <x:c r="G44" s="29" t="str">
        <x:f t="shared" si="8"/>
      </x:c>
      <x:c r="H44" s="30" t="str">
        <x:f t="shared" si="8"/>
      </x:c>
      <x:c r="I44" s="30" t="str">
        <x:f t="shared" si="8"/>
      </x:c>
      <x:c r="J44" s="30" t="str">
        <x:f t="shared" si="8"/>
      </x:c>
      <x:c r="K44" s="30" t="str">
        <x:f t="shared" si="8"/>
      </x:c>
      <x:c r="L44" s="30" t="str">
        <x:f t="shared" si="8"/>
      </x:c>
      <x:c r="M44" s="30">
        <x:f t="shared" si="8"/>
        <x:v>1</x:v>
      </x:c>
      <x:c r="N44" s="30" t="str">
        <x:f t="shared" si="8"/>
      </x:c>
      <x:c r="O44" s="30" t="str">
        <x:f t="shared" si="8"/>
      </x:c>
      <x:c r="P44" s="30" t="str">
        <x:f t="shared" si="8"/>
      </x:c>
      <x:c r="Q44" s="31" t="str">
        <x:f t="shared" si="8"/>
      </x:c>
    </x:row>
    <x:row r="45" ht="37.04999923706055" customHeight="1">
      <x:c r="A45" s="4" t="s">
        <x:v>44</x:v>
      </x:c>
      <x:c r="B45" s="4" t="str">
        <x:f>VLOOKUP($A45,Tareas!$A$8:$P$63,4,FALSE)</x:f>
        <x:v>Integrar cuotas con trabajos asíncronos</x:v>
      </x:c>
      <x:c r="C45" s="4" t="str">
        <x:f>VLOOKUP($A45,Tareas!$A$8:$P$63,5,FALSE)</x:f>
        <x:v>Elden</x:v>
      </x:c>
      <x:c r="D45" s="18" t="n">
        <x:f>VLOOKUP($A45,Tareas!$A$8:$P$63,7,FALSE)</x:f>
        <x:v>46293</x:v>
      </x:c>
      <x:c r="E45" s="18" t="n">
        <x:f>VLOOKUP($A45,Tareas!$A$8:$P$63,8,FALSE)</x:f>
        <x:v>46300</x:v>
      </x:c>
      <x:c r="F45" s="4" t="str">
        <x:f>VLOOKUP($A45,Tareas!$A$8:$P$63,11,FALSE)</x:f>
        <x:v>Planificada</x:v>
      </x:c>
      <x:c r="G45" s="26" t="str">
        <x:f t="shared" si="8"/>
      </x:c>
      <x:c r="H45" s="27" t="str">
        <x:f t="shared" si="8"/>
      </x:c>
      <x:c r="I45" s="27" t="str">
        <x:f t="shared" si="8"/>
      </x:c>
      <x:c r="J45" s="27" t="str">
        <x:f t="shared" si="8"/>
      </x:c>
      <x:c r="K45" s="27" t="str">
        <x:f t="shared" si="8"/>
      </x:c>
      <x:c r="L45" s="27">
        <x:f t="shared" si="8"/>
        <x:v>1</x:v>
      </x:c>
      <x:c r="M45" s="27">
        <x:f t="shared" si="8"/>
        <x:v>1</x:v>
      </x:c>
      <x:c r="N45" s="27" t="str">
        <x:f t="shared" si="8"/>
      </x:c>
      <x:c r="O45" s="27" t="str">
        <x:f t="shared" si="8"/>
      </x:c>
      <x:c r="P45" s="27" t="str">
        <x:f t="shared" si="8"/>
      </x:c>
      <x:c r="Q45" s="28" t="str">
        <x:f t="shared" si="8"/>
      </x:c>
    </x:row>
    <x:row r="46" ht="37.04999923706055" customHeight="1">
      <x:c r="A46" s="12" t="s">
        <x:v>45</x:v>
      </x:c>
      <x:c r="B46" s="12" t="str">
        <x:f>VLOOKUP($A46,Tareas!$A$8:$P$63,4,FALSE)</x:f>
        <x:v>Integrar cuentas y estados del procesamiento</x:v>
      </x:c>
      <x:c r="C46" s="12" t="str">
        <x:f>VLOOKUP($A46,Tareas!$A$8:$P$63,5,FALSE)</x:f>
        <x:v>Diego</x:v>
      </x:c>
      <x:c r="D46" s="19" t="n">
        <x:f>VLOOKUP($A46,Tareas!$A$8:$P$63,7,FALSE)</x:f>
        <x:v>46295</x:v>
      </x:c>
      <x:c r="E46" s="19" t="n">
        <x:f>VLOOKUP($A46,Tareas!$A$8:$P$63,8,FALSE)</x:f>
        <x:v>46302</x:v>
      </x:c>
      <x:c r="F46" s="12" t="str">
        <x:f>VLOOKUP($A46,Tareas!$A$8:$P$63,11,FALSE)</x:f>
        <x:v>Planificada</x:v>
      </x:c>
      <x:c r="G46" s="29" t="str">
        <x:f t="shared" si="8"/>
      </x:c>
      <x:c r="H46" s="30" t="str">
        <x:f t="shared" si="8"/>
      </x:c>
      <x:c r="I46" s="30" t="str">
        <x:f t="shared" si="8"/>
      </x:c>
      <x:c r="J46" s="30" t="str">
        <x:f t="shared" si="8"/>
      </x:c>
      <x:c r="K46" s="30" t="str">
        <x:f t="shared" si="8"/>
      </x:c>
      <x:c r="L46" s="30">
        <x:f t="shared" si="8"/>
        <x:v>1</x:v>
      </x:c>
      <x:c r="M46" s="30">
        <x:f t="shared" si="8"/>
        <x:v>1</x:v>
      </x:c>
      <x:c r="N46" s="30" t="str">
        <x:f t="shared" si="8"/>
      </x:c>
      <x:c r="O46" s="30" t="str">
        <x:f t="shared" si="8"/>
      </x:c>
      <x:c r="P46" s="30" t="str">
        <x:f t="shared" si="8"/>
      </x:c>
      <x:c r="Q46" s="31" t="str">
        <x:f t="shared" si="8"/>
      </x:c>
    </x:row>
    <x:row r="47" ht="37.04999923706055" customHeight="1">
      <x:c r="A47" s="4" t="s">
        <x:v>46</x:v>
      </x:c>
      <x:c r="B47" s="4" t="str">
        <x:f>VLOOKUP($A47,Tareas!$A$8:$P$63,4,FALSE)</x:f>
        <x:v>Integrar álbumes y borrado</x:v>
      </x:c>
      <x:c r="C47" s="4" t="str">
        <x:f>VLOOKUP($A47,Tareas!$A$8:$P$63,5,FALSE)</x:f>
        <x:v>Diego</x:v>
      </x:c>
      <x:c r="D47" s="18" t="n">
        <x:f>VLOOKUP($A47,Tareas!$A$8:$P$63,7,FALSE)</x:f>
        <x:v>46302</x:v>
      </x:c>
      <x:c r="E47" s="18" t="n">
        <x:f>VLOOKUP($A47,Tareas!$A$8:$P$63,8,FALSE)</x:f>
        <x:v>46303</x:v>
      </x:c>
      <x:c r="F47" s="4" t="str">
        <x:f>VLOOKUP($A47,Tareas!$A$8:$P$63,11,FALSE)</x:f>
        <x:v>Planificada</x:v>
      </x:c>
      <x:c r="G47" s="26" t="str">
        <x:f t="shared" si="8"/>
      </x:c>
      <x:c r="H47" s="27" t="str">
        <x:f t="shared" si="8"/>
      </x:c>
      <x:c r="I47" s="27" t="str">
        <x:f t="shared" si="8"/>
      </x:c>
      <x:c r="J47" s="27" t="str">
        <x:f t="shared" si="8"/>
      </x:c>
      <x:c r="K47" s="27" t="str">
        <x:f t="shared" si="8"/>
      </x:c>
      <x:c r="L47" s="27" t="str">
        <x:f t="shared" si="8"/>
      </x:c>
      <x:c r="M47" s="27">
        <x:f t="shared" si="8"/>
        <x:v>1</x:v>
      </x:c>
      <x:c r="N47" s="27" t="str">
        <x:f t="shared" si="8"/>
      </x:c>
      <x:c r="O47" s="27" t="str">
        <x:f t="shared" si="8"/>
      </x:c>
      <x:c r="P47" s="27" t="str">
        <x:f t="shared" si="8"/>
      </x:c>
      <x:c r="Q47" s="28" t="str">
        <x:f t="shared" si="8"/>
      </x:c>
    </x:row>
    <x:row r="48" ht="37.04999923706055" customHeight="1">
      <x:c r="A48" s="12" t="s">
        <x:v>47</x:v>
      </x:c>
      <x:c r="B48" s="12" t="str">
        <x:f>VLOOKUP($A48,Tareas!$A$8:$P$63,4,FALSE)</x:f>
        <x:v>Revisar integración y regresión del 50%</x:v>
      </x:c>
      <x:c r="C48" s="12" t="str">
        <x:f>VLOOKUP($A48,Tareas!$A$8:$P$63,5,FALSE)</x:f>
        <x:v>Equipo</x:v>
      </x:c>
      <x:c r="D48" s="19" t="n">
        <x:f>VLOOKUP($A48,Tareas!$A$8:$P$63,7,FALSE)</x:f>
        <x:v>46303</x:v>
      </x:c>
      <x:c r="E48" s="19" t="n">
        <x:f>VLOOKUP($A48,Tareas!$A$8:$P$63,8,FALSE)</x:f>
        <x:v>46303</x:v>
      </x:c>
      <x:c r="F48" s="12" t="str">
        <x:f>VLOOKUP($A48,Tareas!$A$8:$P$63,11,FALSE)</x:f>
        <x:v>Planificada</x:v>
      </x:c>
      <x:c r="G48" s="29" t="str">
        <x:f t="shared" si="8"/>
      </x:c>
      <x:c r="H48" s="30" t="str">
        <x:f t="shared" si="8"/>
      </x:c>
      <x:c r="I48" s="30" t="str">
        <x:f t="shared" si="8"/>
      </x:c>
      <x:c r="J48" s="30" t="str">
        <x:f t="shared" si="8"/>
      </x:c>
      <x:c r="K48" s="30" t="str">
        <x:f t="shared" si="8"/>
      </x:c>
      <x:c r="L48" s="30" t="str">
        <x:f t="shared" si="8"/>
      </x:c>
      <x:c r="M48" s="30">
        <x:f t="shared" si="8"/>
        <x:v>1</x:v>
      </x:c>
      <x:c r="N48" s="30" t="str">
        <x:f t="shared" si="8"/>
      </x:c>
      <x:c r="O48" s="30" t="str">
        <x:f t="shared" si="8"/>
      </x:c>
      <x:c r="P48" s="30" t="str">
        <x:f t="shared" si="8"/>
      </x:c>
      <x:c r="Q48" s="31" t="str">
        <x:f t="shared" si="8"/>
      </x:c>
    </x:row>
    <x:row r="49" ht="37.04999923706055" customHeight="1">
      <x:c r="A49" s="4" t="s">
        <x:v>48</x:v>
      </x:c>
      <x:c r="B49" s="4" t="str">
        <x:f>VLOOKUP($A49,Tareas!$A$8:$P$63,4,FALSE)</x:f>
        <x:v>Corregir y presentar avance del 50%</x:v>
      </x:c>
      <x:c r="C49" s="4" t="str">
        <x:f>VLOOKUP($A49,Tareas!$A$8:$P$63,5,FALSE)</x:f>
        <x:v>Equipo</x:v>
      </x:c>
      <x:c r="D49" s="18" t="n">
        <x:f>VLOOKUP($A49,Tareas!$A$8:$P$63,7,FALSE)</x:f>
        <x:v>46304</x:v>
      </x:c>
      <x:c r="E49" s="18" t="n">
        <x:f>VLOOKUP($A49,Tareas!$A$8:$P$63,8,FALSE)</x:f>
        <x:v>46304</x:v>
      </x:c>
      <x:c r="F49" s="4" t="str">
        <x:f>VLOOKUP($A49,Tareas!$A$8:$P$63,11,FALSE)</x:f>
        <x:v>Planificada</x:v>
      </x:c>
      <x:c r="G49" s="26" t="str">
        <x:f t="shared" si="8"/>
      </x:c>
      <x:c r="H49" s="27" t="str">
        <x:f t="shared" si="8"/>
      </x:c>
      <x:c r="I49" s="27" t="str">
        <x:f t="shared" si="8"/>
      </x:c>
      <x:c r="J49" s="27" t="str">
        <x:f t="shared" si="8"/>
      </x:c>
      <x:c r="K49" s="27" t="str">
        <x:f t="shared" si="8"/>
      </x:c>
      <x:c r="L49" s="27" t="str">
        <x:f t="shared" si="8"/>
      </x:c>
      <x:c r="M49" s="27">
        <x:f t="shared" si="8"/>
        <x:v>1</x:v>
      </x:c>
      <x:c r="N49" s="27" t="str">
        <x:f t="shared" si="8"/>
      </x:c>
      <x:c r="O49" s="27" t="str">
        <x:f t="shared" si="8"/>
      </x:c>
      <x:c r="P49" s="27" t="str">
        <x:f t="shared" si="8"/>
      </x:c>
      <x:c r="Q49" s="28" t="str">
        <x:f t="shared" si="8"/>
      </x:c>
    </x:row>
    <x:row r="50" ht="37.04999923706055" customHeight="1">
      <x:c r="A50" s="16" t="str">
        <x:f>'Entregas y equipo'!A12</x:f>
        <x:v>S4</x:v>
      </x:c>
      <x:c r="B50" s="16" t="str">
        <x:f>'Entregas y equipo'!B12</x:f>
        <x:v>Avance funcional 3 (80%)</x:v>
      </x:c>
      <x:c r="C50" s="16" t="str">
        <x:f>"Equipo"</x:f>
        <x:v>Equipo</x:v>
      </x:c>
      <x:c r="D50" s="17" t="n">
        <x:f>'Entregas y equipo'!C12</x:f>
        <x:v>46305</x:v>
      </x:c>
      <x:c r="E50" s="17" t="n">
        <x:f>'Entregas y equipo'!D12</x:f>
        <x:v>46318</x:v>
      </x:c>
      <x:c r="F50" s="16" t="str">
        <x:f>"Hito previsto"</x:f>
        <x:v>Hito previsto</x:v>
      </x:c>
      <x:c r="G50" s="23" t="str">
        <x:f t="shared" ref="G50:Q50" si="9">IF(AND(G$7&lt;=$E50,G$7+6&gt;=$E50),"H",IF(AND(G$7&lt;=$E50,G$7+6&gt;=$D50),1,""))</x:f>
      </x:c>
      <x:c r="H50" s="24" t="str">
        <x:f t="shared" si="9"/>
      </x:c>
      <x:c r="I50" s="24" t="str">
        <x:f t="shared" si="9"/>
      </x:c>
      <x:c r="J50" s="24" t="str">
        <x:f t="shared" si="9"/>
      </x:c>
      <x:c r="K50" s="24" t="str">
        <x:f t="shared" si="9"/>
      </x:c>
      <x:c r="L50" s="24" t="str">
        <x:f t="shared" si="9"/>
      </x:c>
      <x:c r="M50" s="24">
        <x:f t="shared" si="9"/>
        <x:v>1</x:v>
      </x:c>
      <x:c r="N50" s="24">
        <x:f t="shared" si="9"/>
        <x:v>1</x:v>
      </x:c>
      <x:c r="O50" s="24" t="str">
        <x:f t="shared" si="9"/>
        <x:v>H</x:v>
      </x:c>
      <x:c r="P50" s="24" t="str">
        <x:f t="shared" si="9"/>
      </x:c>
      <x:c r="Q50" s="25" t="str">
        <x:f t="shared" si="9"/>
      </x:c>
    </x:row>
    <x:row r="51" ht="37.04999923706055" customHeight="1">
      <x:c r="A51" s="4" t="s">
        <x:v>49</x:v>
      </x:c>
      <x:c r="B51" s="4" t="str">
        <x:f>VLOOKUP($A51,Tareas!$A$8:$P$63,4,FALSE)</x:f>
        <x:v>Confirmar planes pagados y precios</x:v>
      </x:c>
      <x:c r="C51" s="4" t="str">
        <x:f>VLOOKUP($A51,Tareas!$A$8:$P$63,5,FALSE)</x:f>
        <x:v>Elden</x:v>
      </x:c>
      <x:c r="D51" s="18" t="n">
        <x:f>VLOOKUP($A51,Tareas!$A$8:$P$63,7,FALSE)</x:f>
        <x:v>46307</x:v>
      </x:c>
      <x:c r="E51" s="18" t="n">
        <x:f>VLOOKUP($A51,Tareas!$A$8:$P$63,8,FALSE)</x:f>
        <x:v>46307</x:v>
      </x:c>
      <x:c r="F51" s="4" t="str">
        <x:f>VLOOKUP($A51,Tareas!$A$8:$P$63,11,FALSE)</x:f>
        <x:v>Planificada</x:v>
      </x:c>
      <x:c r="G51" s="26" t="str">
        <x:f t="shared" ref="G51:Q60" si="10">IF(AND(G$7&lt;=$E51,G$7+6&gt;=$D51),1,"")</x:f>
      </x:c>
      <x:c r="H51" s="27" t="str">
        <x:f t="shared" si="10"/>
      </x:c>
      <x:c r="I51" s="27" t="str">
        <x:f t="shared" si="10"/>
      </x:c>
      <x:c r="J51" s="27" t="str">
        <x:f t="shared" si="10"/>
      </x:c>
      <x:c r="K51" s="27" t="str">
        <x:f t="shared" si="10"/>
      </x:c>
      <x:c r="L51" s="27" t="str">
        <x:f t="shared" si="10"/>
      </x:c>
      <x:c r="M51" s="27" t="str">
        <x:f t="shared" si="10"/>
      </x:c>
      <x:c r="N51" s="27">
        <x:f t="shared" si="10"/>
        <x:v>1</x:v>
      </x:c>
      <x:c r="O51" s="27" t="str">
        <x:f t="shared" si="10"/>
      </x:c>
      <x:c r="P51" s="27" t="str">
        <x:f t="shared" si="10"/>
      </x:c>
      <x:c r="Q51" s="28" t="str">
        <x:f t="shared" si="10"/>
      </x:c>
    </x:row>
    <x:row r="52" ht="37.04999923706055" customHeight="1">
      <x:c r="A52" s="12" t="s">
        <x:v>50</x:v>
      </x:c>
      <x:c r="B52" s="12" t="str">
        <x:f>VLOOKUP($A52,Tareas!$A$8:$P$63,4,FALSE)</x:f>
        <x:v>Implementar pagos simulados e historial</x:v>
      </x:c>
      <x:c r="C52" s="12" t="str">
        <x:f>VLOOKUP($A52,Tareas!$A$8:$P$63,5,FALSE)</x:f>
        <x:v>Elden</x:v>
      </x:c>
      <x:c r="D52" s="19" t="n">
        <x:f>VLOOKUP($A52,Tareas!$A$8:$P$63,7,FALSE)</x:f>
        <x:v>46308</x:v>
      </x:c>
      <x:c r="E52" s="19" t="n">
        <x:f>VLOOKUP($A52,Tareas!$A$8:$P$63,8,FALSE)</x:f>
        <x:v>46310</x:v>
      </x:c>
      <x:c r="F52" s="12" t="str">
        <x:f>VLOOKUP($A52,Tareas!$A$8:$P$63,11,FALSE)</x:f>
        <x:v>Planificada</x:v>
      </x:c>
      <x:c r="G52" s="29" t="str">
        <x:f t="shared" si="10"/>
      </x:c>
      <x:c r="H52" s="30" t="str">
        <x:f t="shared" si="10"/>
      </x:c>
      <x:c r="I52" s="30" t="str">
        <x:f t="shared" si="10"/>
      </x:c>
      <x:c r="J52" s="30" t="str">
        <x:f t="shared" si="10"/>
      </x:c>
      <x:c r="K52" s="30" t="str">
        <x:f t="shared" si="10"/>
      </x:c>
      <x:c r="L52" s="30" t="str">
        <x:f t="shared" si="10"/>
      </x:c>
      <x:c r="M52" s="30" t="str">
        <x:f t="shared" si="10"/>
      </x:c>
      <x:c r="N52" s="30">
        <x:f t="shared" si="10"/>
        <x:v>1</x:v>
      </x:c>
      <x:c r="O52" s="30" t="str">
        <x:f t="shared" si="10"/>
      </x:c>
      <x:c r="P52" s="30" t="str">
        <x:f t="shared" si="10"/>
      </x:c>
      <x:c r="Q52" s="31" t="str">
        <x:f t="shared" si="10"/>
      </x:c>
    </x:row>
    <x:row r="53" ht="37.04999923706055" customHeight="1">
      <x:c r="A53" s="4" t="s">
        <x:v>51</x:v>
      </x:c>
      <x:c r="B53" s="4" t="str">
        <x:f>VLOOKUP($A53,Tareas!$A$8:$P$63,4,FALSE)</x:f>
        <x:v>Implementar renovación y cambio de plan</x:v>
      </x:c>
      <x:c r="C53" s="4" t="str">
        <x:f>VLOOKUP($A53,Tareas!$A$8:$P$63,5,FALSE)</x:f>
        <x:v>Elden</x:v>
      </x:c>
      <x:c r="D53" s="18" t="n">
        <x:f>VLOOKUP($A53,Tareas!$A$8:$P$63,7,FALSE)</x:f>
        <x:v>46311</x:v>
      </x:c>
      <x:c r="E53" s="18" t="n">
        <x:f>VLOOKUP($A53,Tareas!$A$8:$P$63,8,FALSE)</x:f>
        <x:v>46315</x:v>
      </x:c>
      <x:c r="F53" s="4" t="str">
        <x:f>VLOOKUP($A53,Tareas!$A$8:$P$63,11,FALSE)</x:f>
        <x:v>Planificada</x:v>
      </x:c>
      <x:c r="G53" s="26" t="str">
        <x:f t="shared" si="10"/>
      </x:c>
      <x:c r="H53" s="27" t="str">
        <x:f t="shared" si="10"/>
      </x:c>
      <x:c r="I53" s="27" t="str">
        <x:f t="shared" si="10"/>
      </x:c>
      <x:c r="J53" s="27" t="str">
        <x:f t="shared" si="10"/>
      </x:c>
      <x:c r="K53" s="27" t="str">
        <x:f t="shared" si="10"/>
      </x:c>
      <x:c r="L53" s="27" t="str">
        <x:f t="shared" si="10"/>
      </x:c>
      <x:c r="M53" s="27" t="str">
        <x:f t="shared" si="10"/>
      </x:c>
      <x:c r="N53" s="27">
        <x:f t="shared" si="10"/>
        <x:v>1</x:v>
      </x:c>
      <x:c r="O53" s="27">
        <x:f t="shared" si="10"/>
        <x:v>1</x:v>
      </x:c>
      <x:c r="P53" s="27" t="str">
        <x:f t="shared" si="10"/>
      </x:c>
      <x:c r="Q53" s="28" t="str">
        <x:f t="shared" si="10"/>
      </x:c>
    </x:row>
    <x:row r="54" ht="37.04999923706055" customHeight="1">
      <x:c r="A54" s="12" t="s">
        <x:v>52</x:v>
      </x:c>
      <x:c r="B54" s="12" t="str">
        <x:f>VLOOKUP($A54,Tareas!$A$8:$P$63,4,FALSE)</x:f>
        <x:v>Completar consultas administrativas</x:v>
      </x:c>
      <x:c r="C54" s="12" t="str">
        <x:f>VLOOKUP($A54,Tareas!$A$8:$P$63,5,FALSE)</x:f>
        <x:v>Geovanny</x:v>
      </x:c>
      <x:c r="D54" s="19" t="n">
        <x:f>VLOOKUP($A54,Tareas!$A$8:$P$63,7,FALSE)</x:f>
        <x:v>46307</x:v>
      </x:c>
      <x:c r="E54" s="19" t="n">
        <x:f>VLOOKUP($A54,Tareas!$A$8:$P$63,8,FALSE)</x:f>
        <x:v>46310</x:v>
      </x:c>
      <x:c r="F54" s="12" t="str">
        <x:f>VLOOKUP($A54,Tareas!$A$8:$P$63,11,FALSE)</x:f>
        <x:v>Parcial</x:v>
      </x:c>
      <x:c r="G54" s="29" t="str">
        <x:f t="shared" si="10"/>
      </x:c>
      <x:c r="H54" s="30" t="str">
        <x:f t="shared" si="10"/>
      </x:c>
      <x:c r="I54" s="30" t="str">
        <x:f t="shared" si="10"/>
      </x:c>
      <x:c r="J54" s="30" t="str">
        <x:f t="shared" si="10"/>
      </x:c>
      <x:c r="K54" s="30" t="str">
        <x:f t="shared" si="10"/>
      </x:c>
      <x:c r="L54" s="30" t="str">
        <x:f t="shared" si="10"/>
      </x:c>
      <x:c r="M54" s="30" t="str">
        <x:f t="shared" si="10"/>
      </x:c>
      <x:c r="N54" s="30">
        <x:f t="shared" si="10"/>
        <x:v>1</x:v>
      </x:c>
      <x:c r="O54" s="30" t="str">
        <x:f t="shared" si="10"/>
      </x:c>
      <x:c r="P54" s="30" t="str">
        <x:f t="shared" si="10"/>
      </x:c>
      <x:c r="Q54" s="31" t="str">
        <x:f t="shared" si="10"/>
      </x:c>
    </x:row>
    <x:row r="55" ht="37.04999923706055" customHeight="1">
      <x:c r="A55" s="4" t="s">
        <x:v>53</x:v>
      </x:c>
      <x:c r="B55" s="4" t="str">
        <x:f>VLOOKUP($A55,Tareas!$A$8:$P$63,4,FALSE)</x:f>
        <x:v>Verificar roles y acceso a administración</x:v>
      </x:c>
      <x:c r="C55" s="4" t="str">
        <x:f>VLOOKUP($A55,Tareas!$A$8:$P$63,5,FALSE)</x:f>
        <x:v>Andy</x:v>
      </x:c>
      <x:c r="D55" s="18" t="n">
        <x:f>VLOOKUP($A55,Tareas!$A$8:$P$63,7,FALSE)</x:f>
        <x:v>46307</x:v>
      </x:c>
      <x:c r="E55" s="18" t="n">
        <x:f>VLOOKUP($A55,Tareas!$A$8:$P$63,8,FALSE)</x:f>
        <x:v>46311</x:v>
      </x:c>
      <x:c r="F55" s="4" t="str">
        <x:f>VLOOKUP($A55,Tareas!$A$8:$P$63,11,FALSE)</x:f>
        <x:v>Parcial</x:v>
      </x:c>
      <x:c r="G55" s="26" t="str">
        <x:f t="shared" si="10"/>
      </x:c>
      <x:c r="H55" s="27" t="str">
        <x:f t="shared" si="10"/>
      </x:c>
      <x:c r="I55" s="27" t="str">
        <x:f t="shared" si="10"/>
      </x:c>
      <x:c r="J55" s="27" t="str">
        <x:f t="shared" si="10"/>
      </x:c>
      <x:c r="K55" s="27" t="str">
        <x:f t="shared" si="10"/>
      </x:c>
      <x:c r="L55" s="27" t="str">
        <x:f t="shared" si="10"/>
      </x:c>
      <x:c r="M55" s="27" t="str">
        <x:f t="shared" si="10"/>
      </x:c>
      <x:c r="N55" s="27">
        <x:f t="shared" si="10"/>
        <x:v>1</x:v>
      </x:c>
      <x:c r="O55" s="27" t="str">
        <x:f t="shared" si="10"/>
      </x:c>
      <x:c r="P55" s="27" t="str">
        <x:f t="shared" si="10"/>
      </x:c>
      <x:c r="Q55" s="28" t="str">
        <x:f t="shared" si="10"/>
      </x:c>
    </x:row>
    <x:row r="56" ht="37.04999923706055" customHeight="1">
      <x:c r="A56" s="12" t="s">
        <x:v>54</x:v>
      </x:c>
      <x:c r="B56" s="12" t="str">
        <x:f>VLOOKUP($A56,Tareas!$A$8:$P$63,4,FALSE)</x:f>
        <x:v>Integrar planes, pagos e historial</x:v>
      </x:c>
      <x:c r="C56" s="12" t="str">
        <x:f>VLOOKUP($A56,Tareas!$A$8:$P$63,5,FALSE)</x:f>
        <x:v>Diego</x:v>
      </x:c>
      <x:c r="D56" s="19" t="n">
        <x:f>VLOOKUP($A56,Tareas!$A$8:$P$63,7,FALSE)</x:f>
        <x:v>46310</x:v>
      </x:c>
      <x:c r="E56" s="19" t="n">
        <x:f>VLOOKUP($A56,Tareas!$A$8:$P$63,8,FALSE)</x:f>
        <x:v>46315</x:v>
      </x:c>
      <x:c r="F56" s="12" t="str">
        <x:f>VLOOKUP($A56,Tareas!$A$8:$P$63,11,FALSE)</x:f>
        <x:v>Planificada</x:v>
      </x:c>
      <x:c r="G56" s="29" t="str">
        <x:f t="shared" si="10"/>
      </x:c>
      <x:c r="H56" s="30" t="str">
        <x:f t="shared" si="10"/>
      </x:c>
      <x:c r="I56" s="30" t="str">
        <x:f t="shared" si="10"/>
      </x:c>
      <x:c r="J56" s="30" t="str">
        <x:f t="shared" si="10"/>
      </x:c>
      <x:c r="K56" s="30" t="str">
        <x:f t="shared" si="10"/>
      </x:c>
      <x:c r="L56" s="30" t="str">
        <x:f t="shared" si="10"/>
      </x:c>
      <x:c r="M56" s="30" t="str">
        <x:f t="shared" si="10"/>
      </x:c>
      <x:c r="N56" s="30">
        <x:f t="shared" si="10"/>
        <x:v>1</x:v>
      </x:c>
      <x:c r="O56" s="30">
        <x:f t="shared" si="10"/>
        <x:v>1</x:v>
      </x:c>
      <x:c r="P56" s="30" t="str">
        <x:f t="shared" si="10"/>
      </x:c>
      <x:c r="Q56" s="31" t="str">
        <x:f t="shared" si="10"/>
      </x:c>
    </x:row>
    <x:row r="57" ht="37.04999923706055" customHeight="1">
      <x:c r="A57" s="4" t="s">
        <x:v>55</x:v>
      </x:c>
      <x:c r="B57" s="4" t="str">
        <x:f>VLOOKUP($A57,Tareas!$A$8:$P$63,4,FALSE)</x:f>
        <x:v>Integrar panel de administrador</x:v>
      </x:c>
      <x:c r="C57" s="4" t="str">
        <x:f>VLOOKUP($A57,Tareas!$A$8:$P$63,5,FALSE)</x:f>
        <x:v>Diego</x:v>
      </x:c>
      <x:c r="D57" s="18" t="n">
        <x:f>VLOOKUP($A57,Tareas!$A$8:$P$63,7,FALSE)</x:f>
        <x:v>46316</x:v>
      </x:c>
      <x:c r="E57" s="18" t="n">
        <x:f>VLOOKUP($A57,Tareas!$A$8:$P$63,8,FALSE)</x:f>
        <x:v>46316</x:v>
      </x:c>
      <x:c r="F57" s="4" t="str">
        <x:f>VLOOKUP($A57,Tareas!$A$8:$P$63,11,FALSE)</x:f>
        <x:v>Planificada</x:v>
      </x:c>
      <x:c r="G57" s="26" t="str">
        <x:f t="shared" si="10"/>
      </x:c>
      <x:c r="H57" s="27" t="str">
        <x:f t="shared" si="10"/>
      </x:c>
      <x:c r="I57" s="27" t="str">
        <x:f t="shared" si="10"/>
      </x:c>
      <x:c r="J57" s="27" t="str">
        <x:f t="shared" si="10"/>
      </x:c>
      <x:c r="K57" s="27" t="str">
        <x:f t="shared" si="10"/>
      </x:c>
      <x:c r="L57" s="27" t="str">
        <x:f t="shared" si="10"/>
      </x:c>
      <x:c r="M57" s="27" t="str">
        <x:f t="shared" si="10"/>
      </x:c>
      <x:c r="N57" s="27" t="str">
        <x:f t="shared" si="10"/>
      </x:c>
      <x:c r="O57" s="27">
        <x:f t="shared" si="10"/>
        <x:v>1</x:v>
      </x:c>
      <x:c r="P57" s="27" t="str">
        <x:f t="shared" si="10"/>
      </x:c>
      <x:c r="Q57" s="28" t="str">
        <x:f t="shared" si="10"/>
      </x:c>
    </x:row>
    <x:row r="58" ht="37.04999923706055" customHeight="1">
      <x:c r="A58" s="12" t="s">
        <x:v>56</x:v>
      </x:c>
      <x:c r="B58" s="12" t="str">
        <x:f>VLOOKUP($A58,Tareas!$A$8:$P$63,4,FALSE)</x:f>
        <x:v>Probar cuotas y consumo al cambiar de plan</x:v>
      </x:c>
      <x:c r="C58" s="12" t="str">
        <x:f>VLOOKUP($A58,Tareas!$A$8:$P$63,5,FALSE)</x:f>
        <x:v>Geovanny</x:v>
      </x:c>
      <x:c r="D58" s="19" t="n">
        <x:f>VLOOKUP($A58,Tareas!$A$8:$P$63,7,FALSE)</x:f>
        <x:v>46315</x:v>
      </x:c>
      <x:c r="E58" s="19" t="n">
        <x:f>VLOOKUP($A58,Tareas!$A$8:$P$63,8,FALSE)</x:f>
        <x:v>46316</x:v>
      </x:c>
      <x:c r="F58" s="12" t="str">
        <x:f>VLOOKUP($A58,Tareas!$A$8:$P$63,11,FALSE)</x:f>
        <x:v>Planificada</x:v>
      </x:c>
      <x:c r="G58" s="29" t="str">
        <x:f t="shared" si="10"/>
      </x:c>
      <x:c r="H58" s="30" t="str">
        <x:f t="shared" si="10"/>
      </x:c>
      <x:c r="I58" s="30" t="str">
        <x:f t="shared" si="10"/>
      </x:c>
      <x:c r="J58" s="30" t="str">
        <x:f t="shared" si="10"/>
      </x:c>
      <x:c r="K58" s="30" t="str">
        <x:f t="shared" si="10"/>
      </x:c>
      <x:c r="L58" s="30" t="str">
        <x:f t="shared" si="10"/>
      </x:c>
      <x:c r="M58" s="30" t="str">
        <x:f t="shared" si="10"/>
      </x:c>
      <x:c r="N58" s="30" t="str">
        <x:f t="shared" si="10"/>
      </x:c>
      <x:c r="O58" s="30">
        <x:f t="shared" si="10"/>
        <x:v>1</x:v>
      </x:c>
      <x:c r="P58" s="30" t="str">
        <x:f t="shared" si="10"/>
      </x:c>
      <x:c r="Q58" s="31" t="str">
        <x:f t="shared" si="10"/>
      </x:c>
    </x:row>
    <x:row r="59" ht="37.04999923706055" customHeight="1">
      <x:c r="A59" s="4" t="s">
        <x:v>57</x:v>
      </x:c>
      <x:c r="B59" s="4" t="str">
        <x:f>VLOOKUP($A59,Tareas!$A$8:$P$63,4,FALSE)</x:f>
        <x:v>Ejecutar regresión y revisión visual del 80%</x:v>
      </x:c>
      <x:c r="C59" s="4" t="str">
        <x:f>VLOOKUP($A59,Tareas!$A$8:$P$63,5,FALSE)</x:f>
        <x:v>Equipo</x:v>
      </x:c>
      <x:c r="D59" s="18" t="n">
        <x:f>VLOOKUP($A59,Tareas!$A$8:$P$63,7,FALSE)</x:f>
        <x:v>46317</x:v>
      </x:c>
      <x:c r="E59" s="18" t="n">
        <x:f>VLOOKUP($A59,Tareas!$A$8:$P$63,8,FALSE)</x:f>
        <x:v>46317</x:v>
      </x:c>
      <x:c r="F59" s="4" t="str">
        <x:f>VLOOKUP($A59,Tareas!$A$8:$P$63,11,FALSE)</x:f>
        <x:v>Planificada</x:v>
      </x:c>
      <x:c r="G59" s="26" t="str">
        <x:f t="shared" si="10"/>
      </x:c>
      <x:c r="H59" s="27" t="str">
        <x:f t="shared" si="10"/>
      </x:c>
      <x:c r="I59" s="27" t="str">
        <x:f t="shared" si="10"/>
      </x:c>
      <x:c r="J59" s="27" t="str">
        <x:f t="shared" si="10"/>
      </x:c>
      <x:c r="K59" s="27" t="str">
        <x:f t="shared" si="10"/>
      </x:c>
      <x:c r="L59" s="27" t="str">
        <x:f t="shared" si="10"/>
      </x:c>
      <x:c r="M59" s="27" t="str">
        <x:f t="shared" si="10"/>
      </x:c>
      <x:c r="N59" s="27" t="str">
        <x:f t="shared" si="10"/>
      </x:c>
      <x:c r="O59" s="27">
        <x:f t="shared" si="10"/>
        <x:v>1</x:v>
      </x:c>
      <x:c r="P59" s="27" t="str">
        <x:f t="shared" si="10"/>
      </x:c>
      <x:c r="Q59" s="28" t="str">
        <x:f t="shared" si="10"/>
      </x:c>
    </x:row>
    <x:row r="60" ht="37.04999923706055" customHeight="1">
      <x:c r="A60" s="12" t="s">
        <x:v>58</x:v>
      </x:c>
      <x:c r="B60" s="12" t="str">
        <x:f>VLOOKUP($A60,Tareas!$A$8:$P$63,4,FALSE)</x:f>
        <x:v>Corregir y presentar avance del 80%</x:v>
      </x:c>
      <x:c r="C60" s="12" t="str">
        <x:f>VLOOKUP($A60,Tareas!$A$8:$P$63,5,FALSE)</x:f>
        <x:v>Equipo</x:v>
      </x:c>
      <x:c r="D60" s="19" t="n">
        <x:f>VLOOKUP($A60,Tareas!$A$8:$P$63,7,FALSE)</x:f>
        <x:v>46318</x:v>
      </x:c>
      <x:c r="E60" s="19" t="n">
        <x:f>VLOOKUP($A60,Tareas!$A$8:$P$63,8,FALSE)</x:f>
        <x:v>46318</x:v>
      </x:c>
      <x:c r="F60" s="12" t="str">
        <x:f>VLOOKUP($A60,Tareas!$A$8:$P$63,11,FALSE)</x:f>
        <x:v>Planificada</x:v>
      </x:c>
      <x:c r="G60" s="29" t="str">
        <x:f t="shared" si="10"/>
      </x:c>
      <x:c r="H60" s="30" t="str">
        <x:f t="shared" si="10"/>
      </x:c>
      <x:c r="I60" s="30" t="str">
        <x:f t="shared" si="10"/>
      </x:c>
      <x:c r="J60" s="30" t="str">
        <x:f t="shared" si="10"/>
      </x:c>
      <x:c r="K60" s="30" t="str">
        <x:f t="shared" si="10"/>
      </x:c>
      <x:c r="L60" s="30" t="str">
        <x:f t="shared" si="10"/>
      </x:c>
      <x:c r="M60" s="30" t="str">
        <x:f t="shared" si="10"/>
      </x:c>
      <x:c r="N60" s="30" t="str">
        <x:f t="shared" si="10"/>
      </x:c>
      <x:c r="O60" s="30">
        <x:f t="shared" si="10"/>
        <x:v>1</x:v>
      </x:c>
      <x:c r="P60" s="30" t="str">
        <x:f t="shared" si="10"/>
      </x:c>
      <x:c r="Q60" s="31" t="str">
        <x:f t="shared" si="10"/>
      </x:c>
    </x:row>
    <x:row r="61" ht="37.04999923706055" customHeight="1">
      <x:c r="A61" s="16" t="str">
        <x:f>'Entregas y equipo'!A13</x:f>
        <x:v>S5</x:v>
      </x:c>
      <x:c r="B61" s="16" t="str">
        <x:f>'Entregas y equipo'!B13</x:f>
        <x:v>Entrega final y exposiciones</x:v>
      </x:c>
      <x:c r="C61" s="16" t="str">
        <x:f>"Equipo"</x:f>
        <x:v>Equipo</x:v>
      </x:c>
      <x:c r="D61" s="17" t="n">
        <x:f>'Entregas y equipo'!C13</x:f>
        <x:v>46319</x:v>
      </x:c>
      <x:c r="E61" s="17" t="n">
        <x:f>'Entregas y equipo'!D13</x:f>
        <x:v>46332</x:v>
      </x:c>
      <x:c r="F61" s="16" t="str">
        <x:f>"Hito previsto"</x:f>
        <x:v>Hito previsto</x:v>
      </x:c>
      <x:c r="G61" s="23" t="str">
        <x:f t="shared" ref="G61:Q61" si="11">IF(AND(G$7&lt;=$E61,G$7+6&gt;=$E61),"H",IF(AND(G$7&lt;=$E61,G$7+6&gt;=$D61),1,""))</x:f>
      </x:c>
      <x:c r="H61" s="24" t="str">
        <x:f t="shared" si="11"/>
      </x:c>
      <x:c r="I61" s="24" t="str">
        <x:f t="shared" si="11"/>
      </x:c>
      <x:c r="J61" s="24" t="str">
        <x:f t="shared" si="11"/>
      </x:c>
      <x:c r="K61" s="24" t="str">
        <x:f t="shared" si="11"/>
      </x:c>
      <x:c r="L61" s="24" t="str">
        <x:f t="shared" si="11"/>
      </x:c>
      <x:c r="M61" s="24" t="str">
        <x:f t="shared" si="11"/>
      </x:c>
      <x:c r="N61" s="24" t="str">
        <x:f t="shared" si="11"/>
      </x:c>
      <x:c r="O61" s="24">
        <x:f t="shared" si="11"/>
        <x:v>1</x:v>
      </x:c>
      <x:c r="P61" s="24">
        <x:f t="shared" si="11"/>
        <x:v>1</x:v>
      </x:c>
      <x:c r="Q61" s="25" t="str">
        <x:f t="shared" si="11"/>
        <x:v>H</x:v>
      </x:c>
    </x:row>
    <x:row r="62" ht="37.04999923706055" customHeight="1">
      <x:c r="A62" s="12" t="s">
        <x:v>59</x:v>
      </x:c>
      <x:c r="B62" s="12" t="str">
        <x:f>VLOOKUP($A62,Tareas!$A$8:$P$63,4,FALSE)</x:f>
        <x:v>Cerrar documentación de usuarios y seguridad</x:v>
      </x:c>
      <x:c r="C62" s="12" t="str">
        <x:f>VLOOKUP($A62,Tareas!$A$8:$P$63,5,FALSE)</x:f>
        <x:v>Andy</x:v>
      </x:c>
      <x:c r="D62" s="19" t="n">
        <x:f>VLOOKUP($A62,Tareas!$A$8:$P$63,7,FALSE)</x:f>
        <x:v>46321</x:v>
      </x:c>
      <x:c r="E62" s="19" t="n">
        <x:f>VLOOKUP($A62,Tareas!$A$8:$P$63,8,FALSE)</x:f>
        <x:v>46324</x:v>
      </x:c>
      <x:c r="F62" s="12" t="str">
        <x:f>VLOOKUP($A62,Tareas!$A$8:$P$63,11,FALSE)</x:f>
        <x:v>Planificada</x:v>
      </x:c>
      <x:c r="G62" s="29" t="str">
        <x:f t="shared" ref="G62:Q69" si="12">IF(AND(G$7&lt;=$E62,G$7+6&gt;=$D62),1,"")</x:f>
      </x:c>
      <x:c r="H62" s="30" t="str">
        <x:f t="shared" si="12"/>
      </x:c>
      <x:c r="I62" s="30" t="str">
        <x:f t="shared" si="12"/>
      </x:c>
      <x:c r="J62" s="30" t="str">
        <x:f t="shared" si="12"/>
      </x:c>
      <x:c r="K62" s="30" t="str">
        <x:f t="shared" si="12"/>
      </x:c>
      <x:c r="L62" s="30" t="str">
        <x:f t="shared" si="12"/>
      </x:c>
      <x:c r="M62" s="30" t="str">
        <x:f t="shared" si="12"/>
      </x:c>
      <x:c r="N62" s="30" t="str">
        <x:f t="shared" si="12"/>
      </x:c>
      <x:c r="O62" s="30" t="str">
        <x:f t="shared" si="12"/>
      </x:c>
      <x:c r="P62" s="30">
        <x:f t="shared" si="12"/>
        <x:v>1</x:v>
      </x:c>
      <x:c r="Q62" s="31" t="str">
        <x:f t="shared" si="12"/>
      </x:c>
    </x:row>
    <x:row r="63" ht="37.04999923706055" customHeight="1">
      <x:c r="A63" s="4" t="s">
        <x:v>60</x:v>
      </x:c>
      <x:c r="B63" s="4" t="str">
        <x:f>VLOOKUP($A63,Tareas!$A$8:$P$63,4,FALSE)</x:f>
        <x:v>Documentar planes, pagos y reglas de negocio</x:v>
      </x:c>
      <x:c r="C63" s="4" t="str">
        <x:f>VLOOKUP($A63,Tareas!$A$8:$P$63,5,FALSE)</x:f>
        <x:v>Elden</x:v>
      </x:c>
      <x:c r="D63" s="18" t="n">
        <x:f>VLOOKUP($A63,Tareas!$A$8:$P$63,7,FALSE)</x:f>
        <x:v>46321</x:v>
      </x:c>
      <x:c r="E63" s="18" t="n">
        <x:f>VLOOKUP($A63,Tareas!$A$8:$P$63,8,FALSE)</x:f>
        <x:v>46324</x:v>
      </x:c>
      <x:c r="F63" s="4" t="str">
        <x:f>VLOOKUP($A63,Tareas!$A$8:$P$63,11,FALSE)</x:f>
        <x:v>Planificada</x:v>
      </x:c>
      <x:c r="G63" s="26" t="str">
        <x:f t="shared" si="12"/>
      </x:c>
      <x:c r="H63" s="27" t="str">
        <x:f t="shared" si="12"/>
      </x:c>
      <x:c r="I63" s="27" t="str">
        <x:f t="shared" si="12"/>
      </x:c>
      <x:c r="J63" s="27" t="str">
        <x:f t="shared" si="12"/>
      </x:c>
      <x:c r="K63" s="27" t="str">
        <x:f t="shared" si="12"/>
      </x:c>
      <x:c r="L63" s="27" t="str">
        <x:f t="shared" si="12"/>
      </x:c>
      <x:c r="M63" s="27" t="str">
        <x:f t="shared" si="12"/>
      </x:c>
      <x:c r="N63" s="27" t="str">
        <x:f t="shared" si="12"/>
      </x:c>
      <x:c r="O63" s="27" t="str">
        <x:f t="shared" si="12"/>
      </x:c>
      <x:c r="P63" s="27">
        <x:f t="shared" si="12"/>
        <x:v>1</x:v>
      </x:c>
      <x:c r="Q63" s="28" t="str">
        <x:f t="shared" si="12"/>
      </x:c>
    </x:row>
    <x:row r="64" ht="37.04999923706055" customHeight="1">
      <x:c r="A64" s="12" t="s">
        <x:v>61</x:v>
      </x:c>
      <x:c r="B64" s="12" t="str">
        <x:f>VLOOKUP($A64,Tareas!$A$8:$P$63,4,FALSE)</x:f>
        <x:v>Preparar demo SDK/API si se confirma alcance</x:v>
      </x:c>
      <x:c r="C64" s="12" t="str">
        <x:f>VLOOKUP($A64,Tareas!$A$8:$P$63,5,FALSE)</x:f>
        <x:v>Geovanny</x:v>
      </x:c>
      <x:c r="D64" s="19" t="n">
        <x:f>VLOOKUP($A64,Tareas!$A$8:$P$63,7,FALSE)</x:f>
        <x:v>46321</x:v>
      </x:c>
      <x:c r="E64" s="19" t="n">
        <x:f>VLOOKUP($A64,Tareas!$A$8:$P$63,8,FALSE)</x:f>
        <x:v>46324</x:v>
      </x:c>
      <x:c r="F64" s="12" t="str">
        <x:f>VLOOKUP($A64,Tareas!$A$8:$P$63,11,FALSE)</x:f>
        <x:v>Planificada</x:v>
      </x:c>
      <x:c r="G64" s="29" t="str">
        <x:f t="shared" si="12"/>
      </x:c>
      <x:c r="H64" s="30" t="str">
        <x:f t="shared" si="12"/>
      </x:c>
      <x:c r="I64" s="30" t="str">
        <x:f t="shared" si="12"/>
      </x:c>
      <x:c r="J64" s="30" t="str">
        <x:f t="shared" si="12"/>
      </x:c>
      <x:c r="K64" s="30" t="str">
        <x:f t="shared" si="12"/>
      </x:c>
      <x:c r="L64" s="30" t="str">
        <x:f t="shared" si="12"/>
      </x:c>
      <x:c r="M64" s="30" t="str">
        <x:f t="shared" si="12"/>
      </x:c>
      <x:c r="N64" s="30" t="str">
        <x:f t="shared" si="12"/>
      </x:c>
      <x:c r="O64" s="30" t="str">
        <x:f t="shared" si="12"/>
      </x:c>
      <x:c r="P64" s="30">
        <x:f t="shared" si="12"/>
        <x:v>1</x:v>
      </x:c>
      <x:c r="Q64" s="31" t="str">
        <x:f t="shared" si="12"/>
      </x:c>
    </x:row>
    <x:row r="65" ht="37.04999923706055" customHeight="1">
      <x:c r="A65" s="4" t="s">
        <x:v>62</x:v>
      </x:c>
      <x:c r="B65" s="4" t="str">
        <x:f>VLOOKUP($A65,Tareas!$A$8:$P$63,4,FALSE)</x:f>
        <x:v>Pulir interfaz y preparar presentación</x:v>
      </x:c>
      <x:c r="C65" s="4" t="str">
        <x:f>VLOOKUP($A65,Tareas!$A$8:$P$63,5,FALSE)</x:f>
        <x:v>Diego</x:v>
      </x:c>
      <x:c r="D65" s="18" t="n">
        <x:f>VLOOKUP($A65,Tareas!$A$8:$P$63,7,FALSE)</x:f>
        <x:v>46321</x:v>
      </x:c>
      <x:c r="E65" s="18" t="n">
        <x:f>VLOOKUP($A65,Tareas!$A$8:$P$63,8,FALSE)</x:f>
        <x:v>46325</x:v>
      </x:c>
      <x:c r="F65" s="4" t="str">
        <x:f>VLOOKUP($A65,Tareas!$A$8:$P$63,11,FALSE)</x:f>
        <x:v>Planificada</x:v>
      </x:c>
      <x:c r="G65" s="26" t="str">
        <x:f t="shared" si="12"/>
      </x:c>
      <x:c r="H65" s="27" t="str">
        <x:f t="shared" si="12"/>
      </x:c>
      <x:c r="I65" s="27" t="str">
        <x:f t="shared" si="12"/>
      </x:c>
      <x:c r="J65" s="27" t="str">
        <x:f t="shared" si="12"/>
      </x:c>
      <x:c r="K65" s="27" t="str">
        <x:f t="shared" si="12"/>
      </x:c>
      <x:c r="L65" s="27" t="str">
        <x:f t="shared" si="12"/>
      </x:c>
      <x:c r="M65" s="27" t="str">
        <x:f t="shared" si="12"/>
      </x:c>
      <x:c r="N65" s="27" t="str">
        <x:f t="shared" si="12"/>
      </x:c>
      <x:c r="O65" s="27" t="str">
        <x:f t="shared" si="12"/>
      </x:c>
      <x:c r="P65" s="27">
        <x:f t="shared" si="12"/>
        <x:v>1</x:v>
      </x:c>
      <x:c r="Q65" s="28" t="str">
        <x:f t="shared" si="12"/>
      </x:c>
    </x:row>
    <x:row r="66" ht="37.04999923706055" customHeight="1">
      <x:c r="A66" s="12" t="s">
        <x:v>63</x:v>
      </x:c>
      <x:c r="B66" s="12" t="str">
        <x:f>VLOOKUP($A66,Tareas!$A$8:$P$63,4,FALSE)</x:f>
        <x:v>Ejecutar pruebas integrales y corregir defectos</x:v>
      </x:c>
      <x:c r="C66" s="12" t="str">
        <x:f>VLOOKUP($A66,Tareas!$A$8:$P$63,5,FALSE)</x:f>
        <x:v>Equipo</x:v>
      </x:c>
      <x:c r="D66" s="19" t="n">
        <x:f>VLOOKUP($A66,Tareas!$A$8:$P$63,7,FALSE)</x:f>
        <x:v>46325</x:v>
      </x:c>
      <x:c r="E66" s="19" t="n">
        <x:f>VLOOKUP($A66,Tareas!$A$8:$P$63,8,FALSE)</x:f>
        <x:v>46329</x:v>
      </x:c>
      <x:c r="F66" s="12" t="str">
        <x:f>VLOOKUP($A66,Tareas!$A$8:$P$63,11,FALSE)</x:f>
        <x:v>Planificada</x:v>
      </x:c>
      <x:c r="G66" s="29" t="str">
        <x:f t="shared" si="12"/>
      </x:c>
      <x:c r="H66" s="30" t="str">
        <x:f t="shared" si="12"/>
      </x:c>
      <x:c r="I66" s="30" t="str">
        <x:f t="shared" si="12"/>
      </x:c>
      <x:c r="J66" s="30" t="str">
        <x:f t="shared" si="12"/>
      </x:c>
      <x:c r="K66" s="30" t="str">
        <x:f t="shared" si="12"/>
      </x:c>
      <x:c r="L66" s="30" t="str">
        <x:f t="shared" si="12"/>
      </x:c>
      <x:c r="M66" s="30" t="str">
        <x:f t="shared" si="12"/>
      </x:c>
      <x:c r="N66" s="30" t="str">
        <x:f t="shared" si="12"/>
      </x:c>
      <x:c r="O66" s="30" t="str">
        <x:f t="shared" si="12"/>
      </x:c>
      <x:c r="P66" s="30">
        <x:f t="shared" si="12"/>
        <x:v>1</x:v>
      </x:c>
      <x:c r="Q66" s="31">
        <x:f t="shared" si="12"/>
        <x:v>1</x:v>
      </x:c>
    </x:row>
    <x:row r="67" ht="37.04999923706055" customHeight="1">
      <x:c r="A67" s="4" t="s">
        <x:v>64</x:v>
      </x:c>
      <x:c r="B67" s="4" t="str">
        <x:f>VLOOKUP($A67,Tareas!$A$8:$P$63,4,FALSE)</x:f>
        <x:v>Preparar entorno reproducible de demostración</x:v>
      </x:c>
      <x:c r="C67" s="4" t="str">
        <x:f>VLOOKUP($A67,Tareas!$A$8:$P$63,5,FALSE)</x:f>
        <x:v>Equipo</x:v>
      </x:c>
      <x:c r="D67" s="18" t="n">
        <x:f>VLOOKUP($A67,Tareas!$A$8:$P$63,7,FALSE)</x:f>
        <x:v>46329</x:v>
      </x:c>
      <x:c r="E67" s="18" t="n">
        <x:f>VLOOKUP($A67,Tareas!$A$8:$P$63,8,FALSE)</x:f>
        <x:v>46330</x:v>
      </x:c>
      <x:c r="F67" s="4" t="str">
        <x:f>VLOOKUP($A67,Tareas!$A$8:$P$63,11,FALSE)</x:f>
        <x:v>Planificada</x:v>
      </x:c>
      <x:c r="G67" s="26" t="str">
        <x:f t="shared" si="12"/>
      </x:c>
      <x:c r="H67" s="27" t="str">
        <x:f t="shared" si="12"/>
      </x:c>
      <x:c r="I67" s="27" t="str">
        <x:f t="shared" si="12"/>
      </x:c>
      <x:c r="J67" s="27" t="str">
        <x:f t="shared" si="12"/>
      </x:c>
      <x:c r="K67" s="27" t="str">
        <x:f t="shared" si="12"/>
      </x:c>
      <x:c r="L67" s="27" t="str">
        <x:f t="shared" si="12"/>
      </x:c>
      <x:c r="M67" s="27" t="str">
        <x:f t="shared" si="12"/>
      </x:c>
      <x:c r="N67" s="27" t="str">
        <x:f t="shared" si="12"/>
      </x:c>
      <x:c r="O67" s="27" t="str">
        <x:f t="shared" si="12"/>
      </x:c>
      <x:c r="P67" s="27" t="str">
        <x:f t="shared" si="12"/>
      </x:c>
      <x:c r="Q67" s="28">
        <x:f t="shared" si="12"/>
        <x:v>1</x:v>
      </x:c>
    </x:row>
    <x:row r="68" ht="37.04999923706055" customHeight="1">
      <x:c r="A68" s="12" t="s">
        <x:v>65</x:v>
      </x:c>
      <x:c r="B68" s="12" t="str">
        <x:f>VLOOKUP($A68,Tareas!$A$8:$P$63,4,FALSE)</x:f>
        <x:v>Ensayar exposición y cerrar paquete final</x:v>
      </x:c>
      <x:c r="C68" s="12" t="str">
        <x:f>VLOOKUP($A68,Tareas!$A$8:$P$63,5,FALSE)</x:f>
        <x:v>Equipo</x:v>
      </x:c>
      <x:c r="D68" s="19" t="n">
        <x:f>VLOOKUP($A68,Tareas!$A$8:$P$63,7,FALSE)</x:f>
        <x:v>46331</x:v>
      </x:c>
      <x:c r="E68" s="19" t="n">
        <x:f>VLOOKUP($A68,Tareas!$A$8:$P$63,8,FALSE)</x:f>
        <x:v>46331</x:v>
      </x:c>
      <x:c r="F68" s="12" t="str">
        <x:f>VLOOKUP($A68,Tareas!$A$8:$P$63,11,FALSE)</x:f>
        <x:v>Planificada</x:v>
      </x:c>
      <x:c r="G68" s="29" t="str">
        <x:f t="shared" si="12"/>
      </x:c>
      <x:c r="H68" s="30" t="str">
        <x:f t="shared" si="12"/>
      </x:c>
      <x:c r="I68" s="30" t="str">
        <x:f t="shared" si="12"/>
      </x:c>
      <x:c r="J68" s="30" t="str">
        <x:f t="shared" si="12"/>
      </x:c>
      <x:c r="K68" s="30" t="str">
        <x:f t="shared" si="12"/>
      </x:c>
      <x:c r="L68" s="30" t="str">
        <x:f t="shared" si="12"/>
      </x:c>
      <x:c r="M68" s="30" t="str">
        <x:f t="shared" si="12"/>
      </x:c>
      <x:c r="N68" s="30" t="str">
        <x:f t="shared" si="12"/>
      </x:c>
      <x:c r="O68" s="30" t="str">
        <x:f t="shared" si="12"/>
      </x:c>
      <x:c r="P68" s="30" t="str">
        <x:f t="shared" si="12"/>
      </x:c>
      <x:c r="Q68" s="31">
        <x:f t="shared" si="12"/>
        <x:v>1</x:v>
      </x:c>
    </x:row>
    <x:row r="69" ht="37.04999923706055" customHeight="1">
      <x:c r="A69" s="4" t="s">
        <x:v>66</x:v>
      </x:c>
      <x:c r="B69" s="4" t="str">
        <x:f>VLOOKUP($A69,Tareas!$A$8:$P$63,4,FALSE)</x:f>
        <x:v>Entregar y exponer proyecto final</x:v>
      </x:c>
      <x:c r="C69" s="4" t="str">
        <x:f>VLOOKUP($A69,Tareas!$A$8:$P$63,5,FALSE)</x:f>
        <x:v>Equipo</x:v>
      </x:c>
      <x:c r="D69" s="18" t="n">
        <x:f>VLOOKUP($A69,Tareas!$A$8:$P$63,7,FALSE)</x:f>
        <x:v>46332</x:v>
      </x:c>
      <x:c r="E69" s="18" t="n">
        <x:f>VLOOKUP($A69,Tareas!$A$8:$P$63,8,FALSE)</x:f>
        <x:v>46332</x:v>
      </x:c>
      <x:c r="F69" s="4" t="str">
        <x:f>VLOOKUP($A69,Tareas!$A$8:$P$63,11,FALSE)</x:f>
        <x:v>Planificada</x:v>
      </x:c>
      <x:c r="G69" s="32" t="str">
        <x:f t="shared" si="12"/>
      </x:c>
      <x:c r="H69" s="33" t="str">
        <x:f t="shared" si="12"/>
      </x:c>
      <x:c r="I69" s="33" t="str">
        <x:f t="shared" si="12"/>
      </x:c>
      <x:c r="J69" s="33" t="str">
        <x:f t="shared" si="12"/>
      </x:c>
      <x:c r="K69" s="33" t="str">
        <x:f t="shared" si="12"/>
      </x:c>
      <x:c r="L69" s="33" t="str">
        <x:f t="shared" si="12"/>
      </x:c>
      <x:c r="M69" s="33" t="str">
        <x:f t="shared" si="12"/>
      </x:c>
      <x:c r="N69" s="33" t="str">
        <x:f t="shared" si="12"/>
      </x:c>
      <x:c r="O69" s="33" t="str">
        <x:f t="shared" si="12"/>
      </x:c>
      <x:c r="P69" s="33" t="str">
        <x:f t="shared" si="12"/>
      </x:c>
      <x:c r="Q69" s="34">
        <x:f t="shared" si="12"/>
        <x:v>1</x:v>
      </x:c>
    </x:row>
    <x:row r="70" ht="25.049999237060547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</x:sheetData>
  <x:conditionalFormatting sqref="G8:Q8">
    <x:cfRule type="expression" dxfId="15" priority="1">
      <x:formula>G8&lt;&gt;""</x:formula>
    </x:cfRule>
  </x:conditionalFormatting>
  <x:conditionalFormatting sqref="G9:Q12">
    <x:cfRule type="cellIs" dxfId="14" priority="2" operator="equal">
      <x:formula>1</x:formula>
    </x:cfRule>
  </x:conditionalFormatting>
  <x:conditionalFormatting sqref="G13:Q13">
    <x:cfRule type="expression" dxfId="13" priority="6">
      <x:formula>G13&lt;&gt;""</x:formula>
    </x:cfRule>
  </x:conditionalFormatting>
  <x:conditionalFormatting sqref="G14:Q19">
    <x:cfRule type="cellIs" dxfId="12" priority="7" operator="equal">
      <x:formula>1</x:formula>
    </x:cfRule>
  </x:conditionalFormatting>
  <x:conditionalFormatting sqref="G20:Q20">
    <x:cfRule type="expression" dxfId="11" priority="13">
      <x:formula>G20&lt;&gt;""</x:formula>
    </x:cfRule>
  </x:conditionalFormatting>
  <x:conditionalFormatting sqref="G21:Q36">
    <x:cfRule type="cellIs" dxfId="10" priority="14" operator="equal">
      <x:formula>1</x:formula>
    </x:cfRule>
  </x:conditionalFormatting>
  <x:conditionalFormatting sqref="G37:Q37">
    <x:cfRule type="expression" dxfId="9" priority="30">
      <x:formula>G37&lt;&gt;""</x:formula>
    </x:cfRule>
  </x:conditionalFormatting>
  <x:conditionalFormatting sqref="G38:Q49">
    <x:cfRule type="cellIs" dxfId="8" priority="31" operator="equal">
      <x:formula>1</x:formula>
    </x:cfRule>
  </x:conditionalFormatting>
  <x:conditionalFormatting sqref="G50:Q50">
    <x:cfRule type="expression" dxfId="7" priority="43">
      <x:formula>G50&lt;&gt;""</x:formula>
    </x:cfRule>
  </x:conditionalFormatting>
  <x:conditionalFormatting sqref="G51:Q60">
    <x:cfRule type="cellIs" dxfId="6" priority="44" operator="equal">
      <x:formula>1</x:formula>
    </x:cfRule>
  </x:conditionalFormatting>
  <x:conditionalFormatting sqref="G61:Q61">
    <x:cfRule type="expression" dxfId="5" priority="54">
      <x:formula>G61&lt;&gt;""</x:formula>
    </x:cfRule>
  </x:conditionalFormatting>
  <x:conditionalFormatting sqref="G62:Q69">
    <x:cfRule type="cellIs" dxfId="4" priority="55" operator="equal">
      <x:formula>1</x:formula>
    </x:cfRule>
  </x:conditionalFormatting>
  <x:conditionalFormatting sqref="F8:F69">
    <x:cfRule type="expression" dxfId="18" priority="56">
      <x:formula>$F8="Implementada"</x:formula>
    </x:cfRule>
    <x:cfRule type="expression" dxfId="19" priority="57">
      <x:formula>$F8="Parcial"</x:formula>
    </x:cfRule>
    <x:cfRule type="expression" dxfId="23" priority="58">
      <x:formula>$F8="Verificada"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8A84E"/>
  </x:sheetPr>
  <x:sheetViews>
    <x:sheetView showGridLines="0" workbookViewId="0">
      <x:pane xSplit="2" ySplit="7" topLeftCell="C8" activePane="bottomRight" state="frozen"/>
    </x:sheetView>
  </x:sheetViews>
  <x:sheetFormatPr baseColWidth="10" defaultColWidth="8.796875" defaultRowHeight="13.800000190734863"/>
  <x:cols>
    <x:col min="1" max="1" width="9.5" customWidth="1"/>
    <x:col min="2" max="2" width="40.59765625" customWidth="1"/>
    <x:col min="3" max="3" width="12.5" customWidth="1"/>
    <x:col min="4" max="5" width="11" customWidth="1"/>
    <x:col min="6" max="6" width="16" customWidth="1"/>
    <x:col min="7" max="20" width="7.09765625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30" customHeight="1">
      <x:c r="A2" s="2" t="s">
        <x:v>67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5.049999237060547" customHeight="1">
      <x:c r="A3" s="3" t="str">
        <x:v>Estado al 25/09/2026: backend y formularios conectados a la API; falta comprobar el recorrido completo en navegador.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5.049999237060547" customHeight="1">
      <x:c r="A4" s="3" t="str">
        <x:v>Fechas planificadas conservadas. Implementada = código presente y compilado; Verificada = pruebas automatizadas aprobadas.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25.049999237060547" customHeight="1">
      <x:c r="A5" s="3" t="str">
        <x:v>Cierre pendiente: recorrido de aceptación en navegador, conciliación documental, revisión y constancia de entrega.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25.049999237060547" customHeight="1">
      <x:c r="A6" s="3" t="str">
        <x:v>npm run check y 44 pruebas con PostgreSQL aprobadas. La suite automatizada no cubre la interacción del frontend.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34.04999923706055" customHeight="1">
      <x:c r="A7" s="5" t="s">
        <x:v>68</x:v>
      </x:c>
      <x:c r="B7" s="5" t="s">
        <x:v>5</x:v>
      </x:c>
      <x:c r="C7" s="5" t="s">
        <x:v>6</x:v>
      </x:c>
      <x:c r="D7" s="5" t="s">
        <x:v>7</x:v>
      </x:c>
      <x:c r="E7" s="5" t="s">
        <x:v>8</x:v>
      </x:c>
      <x:c r="F7" s="5" t="s">
        <x:v>9</x:v>
      </x:c>
      <x:c r="G7" s="20">
        <x:v>46277</x:v>
      </x:c>
      <x:c r="H7" s="21">
        <x:v>46278</x:v>
      </x:c>
      <x:c r="I7" s="21">
        <x:v>46279</x:v>
      </x:c>
      <x:c r="J7" s="21">
        <x:v>46280</x:v>
      </x:c>
      <x:c r="K7" s="21">
        <x:v>46281</x:v>
      </x:c>
      <x:c r="L7" s="21">
        <x:v>46282</x:v>
      </x:c>
      <x:c r="M7" s="21">
        <x:v>46283</x:v>
      </x:c>
      <x:c r="N7" s="21">
        <x:v>46284</x:v>
      </x:c>
      <x:c r="O7" s="21">
        <x:v>46285</x:v>
      </x:c>
      <x:c r="P7" s="21">
        <x:v>46286</x:v>
      </x:c>
      <x:c r="Q7" s="21">
        <x:v>46287</x:v>
      </x:c>
      <x:c r="R7" s="21">
        <x:v>46288</x:v>
      </x:c>
      <x:c r="S7" s="21">
        <x:v>46289</x:v>
      </x:c>
      <x:c r="T7" s="35">
        <x:v>46290</x:v>
      </x:c>
    </x:row>
    <x:row r="8" ht="43.95000076293945" customHeight="1">
      <x:c r="A8" s="12" t="s">
        <x:v>21</x:v>
      </x:c>
      <x:c r="B8" s="12" t="str">
        <x:f>VLOOKUP($A8,Tareas!$A$8:$P$63,4,FALSE)</x:f>
        <x:v>Preparar esqueleto y esquema inicial</x:v>
      </x:c>
      <x:c r="C8" s="12" t="str">
        <x:f>VLOOKUP($A8,Tareas!$A$8:$P$63,5,FALSE)</x:f>
        <x:v>Equipo</x:v>
      </x:c>
      <x:c r="D8" s="19" t="n">
        <x:f>VLOOKUP($A8,Tareas!$A$8:$P$63,7,FALSE)</x:f>
        <x:v>46286</x:v>
      </x:c>
      <x:c r="E8" s="19" t="n">
        <x:f>VLOOKUP($A8,Tareas!$A$8:$P$63,8,FALSE)</x:f>
        <x:v>46286</x:v>
      </x:c>
      <x:c r="F8" s="12" t="str">
        <x:f>VLOOKUP($A8,Tareas!$A$8:$P$63,11,FALSE)</x:f>
        <x:v>Base verificada</x:v>
      </x:c>
      <x:c r="G8" s="36" t="str">
        <x:f t="shared" ref="G8:T17" si="0">IF(AND(G$7&gt;=$D8,G$7&lt;=$E8),1,"")</x:f>
      </x:c>
      <x:c r="H8" s="37" t="str">
        <x:f t="shared" si="0"/>
      </x:c>
      <x:c r="I8" s="37" t="str">
        <x:f t="shared" si="0"/>
      </x:c>
      <x:c r="J8" s="37" t="str">
        <x:f t="shared" si="0"/>
      </x:c>
      <x:c r="K8" s="37" t="str">
        <x:f t="shared" si="0"/>
      </x:c>
      <x:c r="L8" s="37" t="str">
        <x:f t="shared" si="0"/>
      </x:c>
      <x:c r="M8" s="37" t="str">
        <x:f t="shared" si="0"/>
      </x:c>
      <x:c r="N8" s="37" t="str">
        <x:f t="shared" si="0"/>
      </x:c>
      <x:c r="O8" s="37" t="str">
        <x:f t="shared" si="0"/>
      </x:c>
      <x:c r="P8" s="37">
        <x:f t="shared" si="0"/>
        <x:v>1</x:v>
      </x:c>
      <x:c r="Q8" s="37" t="str">
        <x:f t="shared" si="0"/>
      </x:c>
      <x:c r="R8" s="37" t="str">
        <x:f t="shared" si="0"/>
      </x:c>
      <x:c r="S8" s="37" t="str">
        <x:f t="shared" si="0"/>
      </x:c>
      <x:c r="T8" s="38" t="str">
        <x:f t="shared" si="0"/>
      </x:c>
    </x:row>
    <x:row r="9" ht="43.95000076293945" customHeight="1">
      <x:c r="A9" s="4" t="s">
        <x:v>22</x:v>
      </x:c>
      <x:c r="B9" s="4" t="str">
        <x:f>VLOOKUP($A9,Tareas!$A$8:$P$63,4,FALSE)</x:f>
        <x:v>Implementar registro y hash seguro</x:v>
      </x:c>
      <x:c r="C9" s="4" t="str">
        <x:f>VLOOKUP($A9,Tareas!$A$8:$P$63,5,FALSE)</x:f>
        <x:v>Andy</x:v>
      </x:c>
      <x:c r="D9" s="18" t="n">
        <x:f>VLOOKUP($A9,Tareas!$A$8:$P$63,7,FALSE)</x:f>
        <x:v>46288</x:v>
      </x:c>
      <x:c r="E9" s="18" t="n">
        <x:f>VLOOKUP($A9,Tareas!$A$8:$P$63,8,FALSE)</x:f>
        <x:v>46288</x:v>
      </x:c>
      <x:c r="F9" s="4" t="str">
        <x:f>VLOOKUP($A9,Tareas!$A$8:$P$63,11,FALSE)</x:f>
        <x:v>Verificada</x:v>
      </x:c>
      <x:c r="G9" s="39" t="str">
        <x:f t="shared" si="0"/>
      </x:c>
      <x:c r="H9" s="40" t="str">
        <x:f t="shared" si="0"/>
      </x:c>
      <x:c r="I9" s="40" t="str">
        <x:f t="shared" si="0"/>
      </x:c>
      <x:c r="J9" s="40" t="str">
        <x:f t="shared" si="0"/>
      </x:c>
      <x:c r="K9" s="40" t="str">
        <x:f t="shared" si="0"/>
      </x:c>
      <x:c r="L9" s="40" t="str">
        <x:f t="shared" si="0"/>
      </x:c>
      <x:c r="M9" s="40" t="str">
        <x:f t="shared" si="0"/>
      </x:c>
      <x:c r="N9" s="40" t="str">
        <x:f t="shared" si="0"/>
      </x:c>
      <x:c r="O9" s="40" t="str">
        <x:f t="shared" si="0"/>
      </x:c>
      <x:c r="P9" s="40" t="str">
        <x:f t="shared" si="0"/>
      </x:c>
      <x:c r="Q9" s="40" t="str">
        <x:f t="shared" si="0"/>
      </x:c>
      <x:c r="R9" s="40">
        <x:f t="shared" si="0"/>
        <x:v>1</x:v>
      </x:c>
      <x:c r="S9" s="40" t="str">
        <x:f t="shared" si="0"/>
      </x:c>
      <x:c r="T9" s="41" t="str">
        <x:f t="shared" si="0"/>
      </x:c>
    </x:row>
    <x:row r="10" ht="43.95000076293945" customHeight="1">
      <x:c r="A10" s="12" t="s">
        <x:v>23</x:v>
      </x:c>
      <x:c r="B10" s="12" t="str">
        <x:f>VLOOKUP($A10,Tareas!$A$8:$P$63,4,FALSE)</x:f>
        <x:v>Implementar login, JWT y protección</x:v>
      </x:c>
      <x:c r="C10" s="12" t="str">
        <x:f>VLOOKUP($A10,Tareas!$A$8:$P$63,5,FALSE)</x:f>
        <x:v>Andy</x:v>
      </x:c>
      <x:c r="D10" s="19" t="n">
        <x:f>VLOOKUP($A10,Tareas!$A$8:$P$63,7,FALSE)</x:f>
        <x:v>46289</x:v>
      </x:c>
      <x:c r="E10" s="19" t="n">
        <x:f>VLOOKUP($A10,Tareas!$A$8:$P$63,8,FALSE)</x:f>
        <x:v>46289</x:v>
      </x:c>
      <x:c r="F10" s="12" t="str">
        <x:f>VLOOKUP($A10,Tareas!$A$8:$P$63,11,FALSE)</x:f>
        <x:v>Verificada</x:v>
      </x:c>
      <x:c r="G10" s="36" t="str">
        <x:f t="shared" si="0"/>
      </x:c>
      <x:c r="H10" s="37" t="str">
        <x:f t="shared" si="0"/>
      </x:c>
      <x:c r="I10" s="37" t="str">
        <x:f t="shared" si="0"/>
      </x:c>
      <x:c r="J10" s="37" t="str">
        <x:f t="shared" si="0"/>
      </x:c>
      <x:c r="K10" s="37" t="str">
        <x:f t="shared" si="0"/>
      </x:c>
      <x:c r="L10" s="37" t="str">
        <x:f t="shared" si="0"/>
      </x:c>
      <x:c r="M10" s="37" t="str">
        <x:f t="shared" si="0"/>
      </x:c>
      <x:c r="N10" s="37" t="str">
        <x:f t="shared" si="0"/>
      </x:c>
      <x:c r="O10" s="37" t="str">
        <x:f t="shared" si="0"/>
      </x:c>
      <x:c r="P10" s="37" t="str">
        <x:f t="shared" si="0"/>
      </x:c>
      <x:c r="Q10" s="37" t="str">
        <x:f t="shared" si="0"/>
      </x:c>
      <x:c r="R10" s="37" t="str">
        <x:f t="shared" si="0"/>
      </x:c>
      <x:c r="S10" s="37">
        <x:f t="shared" si="0"/>
        <x:v>1</x:v>
      </x:c>
      <x:c r="T10" s="38" t="str">
        <x:f t="shared" si="0"/>
      </x:c>
    </x:row>
    <x:row r="11" ht="43.95000076293945" customHeight="1">
      <x:c r="A11" s="4" t="s">
        <x:v>24</x:v>
      </x:c>
      <x:c r="B11" s="4" t="str">
        <x:f>VLOOKUP($A11,Tareas!$A$8:$P$63,4,FALSE)</x:f>
        <x:v>Revisar catálogo y contrato de Free</x:v>
      </x:c>
      <x:c r="C11" s="4" t="str">
        <x:f>VLOOKUP($A11,Tareas!$A$8:$P$63,5,FALSE)</x:f>
        <x:v>Elden</x:v>
      </x:c>
      <x:c r="D11" s="18" t="n">
        <x:f>VLOOKUP($A11,Tareas!$A$8:$P$63,7,FALSE)</x:f>
        <x:v>46288</x:v>
      </x:c>
      <x:c r="E11" s="18" t="n">
        <x:f>VLOOKUP($A11,Tareas!$A$8:$P$63,8,FALSE)</x:f>
        <x:v>46288</x:v>
      </x:c>
      <x:c r="F11" s="4" t="str">
        <x:f>VLOOKUP($A11,Tareas!$A$8:$P$63,11,FALSE)</x:f>
        <x:v>Verificada</x:v>
      </x:c>
      <x:c r="G11" s="39" t="str">
        <x:f t="shared" si="0"/>
      </x:c>
      <x:c r="H11" s="40" t="str">
        <x:f t="shared" si="0"/>
      </x:c>
      <x:c r="I11" s="40" t="str">
        <x:f t="shared" si="0"/>
      </x:c>
      <x:c r="J11" s="40" t="str">
        <x:f t="shared" si="0"/>
      </x:c>
      <x:c r="K11" s="40" t="str">
        <x:f t="shared" si="0"/>
      </x:c>
      <x:c r="L11" s="40" t="str">
        <x:f t="shared" si="0"/>
      </x:c>
      <x:c r="M11" s="40" t="str">
        <x:f t="shared" si="0"/>
      </x:c>
      <x:c r="N11" s="40" t="str">
        <x:f t="shared" si="0"/>
      </x:c>
      <x:c r="O11" s="40" t="str">
        <x:f t="shared" si="0"/>
      </x:c>
      <x:c r="P11" s="40" t="str">
        <x:f t="shared" si="0"/>
      </x:c>
      <x:c r="Q11" s="40" t="str">
        <x:f t="shared" si="0"/>
      </x:c>
      <x:c r="R11" s="40">
        <x:f t="shared" si="0"/>
        <x:v>1</x:v>
      </x:c>
      <x:c r="S11" s="40" t="str">
        <x:f t="shared" si="0"/>
      </x:c>
      <x:c r="T11" s="41" t="str">
        <x:f t="shared" si="0"/>
      </x:c>
    </x:row>
    <x:row r="12" ht="43.95000076293945" customHeight="1">
      <x:c r="A12" s="12" t="s">
        <x:v>25</x:v>
      </x:c>
      <x:c r="B12" s="12" t="str">
        <x:f>VLOOKUP($A12,Tareas!$A$8:$P$63,4,FALSE)</x:f>
        <x:v>Asignar Free al registrar</x:v>
      </x:c>
      <x:c r="C12" s="12" t="str">
        <x:f>VLOOKUP($A12,Tareas!$A$8:$P$63,5,FALSE)</x:f>
        <x:v>Elden</x:v>
      </x:c>
      <x:c r="D12" s="19" t="n">
        <x:f>VLOOKUP($A12,Tareas!$A$8:$P$63,7,FALSE)</x:f>
        <x:v>46289</x:v>
      </x:c>
      <x:c r="E12" s="19" t="n">
        <x:f>VLOOKUP($A12,Tareas!$A$8:$P$63,8,FALSE)</x:f>
        <x:v>46289</x:v>
      </x:c>
      <x:c r="F12" s="12" t="str">
        <x:f>VLOOKUP($A12,Tareas!$A$8:$P$63,11,FALSE)</x:f>
        <x:v>Hecha</x:v>
      </x:c>
      <x:c r="G12" s="36" t="str">
        <x:f t="shared" si="0"/>
      </x:c>
      <x:c r="H12" s="37" t="str">
        <x:f t="shared" si="0"/>
      </x:c>
      <x:c r="I12" s="37" t="str">
        <x:f t="shared" si="0"/>
      </x:c>
      <x:c r="J12" s="37" t="str">
        <x:f t="shared" si="0"/>
      </x:c>
      <x:c r="K12" s="37" t="str">
        <x:f t="shared" si="0"/>
      </x:c>
      <x:c r="L12" s="37" t="str">
        <x:f t="shared" si="0"/>
      </x:c>
      <x:c r="M12" s="37" t="str">
        <x:f t="shared" si="0"/>
      </x:c>
      <x:c r="N12" s="37" t="str">
        <x:f t="shared" si="0"/>
      </x:c>
      <x:c r="O12" s="37" t="str">
        <x:f t="shared" si="0"/>
      </x:c>
      <x:c r="P12" s="37" t="str">
        <x:f t="shared" si="0"/>
      </x:c>
      <x:c r="Q12" s="37" t="str">
        <x:f t="shared" si="0"/>
      </x:c>
      <x:c r="R12" s="37" t="str">
        <x:f t="shared" si="0"/>
      </x:c>
      <x:c r="S12" s="37">
        <x:f t="shared" si="0"/>
        <x:v>1</x:v>
      </x:c>
      <x:c r="T12" s="38" t="str">
        <x:f t="shared" si="0"/>
      </x:c>
    </x:row>
    <x:row r="13" ht="43.95000076293945" customHeight="1">
      <x:c r="A13" s="4" t="s">
        <x:v>26</x:v>
      </x:c>
      <x:c r="B13" s="4" t="str">
        <x:f>VLOOKUP($A13,Tareas!$A$8:$P$63,4,FALSE)</x:f>
        <x:v>Aplicar capacidad y límites diarios</x:v>
      </x:c>
      <x:c r="C13" s="4" t="str">
        <x:f>VLOOKUP($A13,Tareas!$A$8:$P$63,5,FALSE)</x:f>
        <x:v>Elden</x:v>
      </x:c>
      <x:c r="D13" s="18" t="n">
        <x:f>VLOOKUP($A13,Tareas!$A$8:$P$63,7,FALSE)</x:f>
        <x:v>46289</x:v>
      </x:c>
      <x:c r="E13" s="18" t="n">
        <x:f>VLOOKUP($A13,Tareas!$A$8:$P$63,8,FALSE)</x:f>
        <x:v>46289</x:v>
      </x:c>
      <x:c r="F13" s="4" t="str">
        <x:f>VLOOKUP($A13,Tareas!$A$8:$P$63,11,FALSE)</x:f>
        <x:v>Verificada</x:v>
      </x:c>
      <x:c r="G13" s="39" t="str">
        <x:f t="shared" si="0"/>
      </x:c>
      <x:c r="H13" s="40" t="str">
        <x:f t="shared" si="0"/>
      </x:c>
      <x:c r="I13" s="40" t="str">
        <x:f t="shared" si="0"/>
      </x:c>
      <x:c r="J13" s="40" t="str">
        <x:f t="shared" si="0"/>
      </x:c>
      <x:c r="K13" s="40" t="str">
        <x:f t="shared" si="0"/>
      </x:c>
      <x:c r="L13" s="40" t="str">
        <x:f t="shared" si="0"/>
      </x:c>
      <x:c r="M13" s="40" t="str">
        <x:f t="shared" si="0"/>
      </x:c>
      <x:c r="N13" s="40" t="str">
        <x:f t="shared" si="0"/>
      </x:c>
      <x:c r="O13" s="40" t="str">
        <x:f t="shared" si="0"/>
      </x:c>
      <x:c r="P13" s="40" t="str">
        <x:f t="shared" si="0"/>
      </x:c>
      <x:c r="Q13" s="40" t="str">
        <x:f t="shared" si="0"/>
      </x:c>
      <x:c r="R13" s="40" t="str">
        <x:f t="shared" si="0"/>
      </x:c>
      <x:c r="S13" s="40">
        <x:f t="shared" si="0"/>
        <x:v>1</x:v>
      </x:c>
      <x:c r="T13" s="41" t="str">
        <x:f t="shared" si="0"/>
      </x:c>
    </x:row>
    <x:row r="14" ht="43.95000076293945" customHeight="1">
      <x:c r="A14" s="12" t="s">
        <x:v>27</x:v>
      </x:c>
      <x:c r="B14" s="12" t="str">
        <x:f>VLOOKUP($A14,Tareas!$A$8:$P$63,4,FALSE)</x:f>
        <x:v>Validar archivo y calcular SHA-256</x:v>
      </x:c>
      <x:c r="C14" s="12" t="str">
        <x:f>VLOOKUP($A14,Tareas!$A$8:$P$63,5,FALSE)</x:f>
        <x:v>Geovanny</x:v>
      </x:c>
      <x:c r="D14" s="19" t="n">
        <x:f>VLOOKUP($A14,Tareas!$A$8:$P$63,7,FALSE)</x:f>
        <x:v>46288</x:v>
      </x:c>
      <x:c r="E14" s="19" t="n">
        <x:f>VLOOKUP($A14,Tareas!$A$8:$P$63,8,FALSE)</x:f>
        <x:v>46288</x:v>
      </x:c>
      <x:c r="F14" s="12" t="str">
        <x:f>VLOOKUP($A14,Tareas!$A$8:$P$63,11,FALSE)</x:f>
        <x:v>Verificada</x:v>
      </x:c>
      <x:c r="G14" s="36" t="str">
        <x:f t="shared" si="0"/>
      </x:c>
      <x:c r="H14" s="37" t="str">
        <x:f t="shared" si="0"/>
      </x:c>
      <x:c r="I14" s="37" t="str">
        <x:f t="shared" si="0"/>
      </x:c>
      <x:c r="J14" s="37" t="str">
        <x:f t="shared" si="0"/>
      </x:c>
      <x:c r="K14" s="37" t="str">
        <x:f t="shared" si="0"/>
      </x:c>
      <x:c r="L14" s="37" t="str">
        <x:f t="shared" si="0"/>
      </x:c>
      <x:c r="M14" s="37" t="str">
        <x:f t="shared" si="0"/>
      </x:c>
      <x:c r="N14" s="37" t="str">
        <x:f t="shared" si="0"/>
      </x:c>
      <x:c r="O14" s="37" t="str">
        <x:f t="shared" si="0"/>
      </x:c>
      <x:c r="P14" s="37" t="str">
        <x:f t="shared" si="0"/>
      </x:c>
      <x:c r="Q14" s="37" t="str">
        <x:f t="shared" si="0"/>
      </x:c>
      <x:c r="R14" s="37">
        <x:f t="shared" si="0"/>
        <x:v>1</x:v>
      </x:c>
      <x:c r="S14" s="37" t="str">
        <x:f t="shared" si="0"/>
      </x:c>
      <x:c r="T14" s="38" t="str">
        <x:f t="shared" si="0"/>
      </x:c>
    </x:row>
    <x:row r="15" ht="43.95000076293945" customHeight="1">
      <x:c r="A15" s="4" t="s">
        <x:v>28</x:v>
      </x:c>
      <x:c r="B15" s="4" t="str">
        <x:f>VLOOKUP($A15,Tareas!$A$8:$P$63,4,FALSE)</x:f>
        <x:v>Convertir a WebP y limpiar temporales</x:v>
      </x:c>
      <x:c r="C15" s="4" t="str">
        <x:f>VLOOKUP($A15,Tareas!$A$8:$P$63,5,FALSE)</x:f>
        <x:v>Geovanny</x:v>
      </x:c>
      <x:c r="D15" s="18" t="n">
        <x:f>VLOOKUP($A15,Tareas!$A$8:$P$63,7,FALSE)</x:f>
        <x:v>46289</x:v>
      </x:c>
      <x:c r="E15" s="18" t="n">
        <x:f>VLOOKUP($A15,Tareas!$A$8:$P$63,8,FALSE)</x:f>
        <x:v>46289</x:v>
      </x:c>
      <x:c r="F15" s="4" t="str">
        <x:f>VLOOKUP($A15,Tareas!$A$8:$P$63,11,FALSE)</x:f>
        <x:v>Verificada</x:v>
      </x:c>
      <x:c r="G15" s="39" t="str">
        <x:f t="shared" si="0"/>
      </x:c>
      <x:c r="H15" s="40" t="str">
        <x:f t="shared" si="0"/>
      </x:c>
      <x:c r="I15" s="40" t="str">
        <x:f t="shared" si="0"/>
      </x:c>
      <x:c r="J15" s="40" t="str">
        <x:f t="shared" si="0"/>
      </x:c>
      <x:c r="K15" s="40" t="str">
        <x:f t="shared" si="0"/>
      </x:c>
      <x:c r="L15" s="40" t="str">
        <x:f t="shared" si="0"/>
      </x:c>
      <x:c r="M15" s="40" t="str">
        <x:f t="shared" si="0"/>
      </x:c>
      <x:c r="N15" s="40" t="str">
        <x:f t="shared" si="0"/>
      </x:c>
      <x:c r="O15" s="40" t="str">
        <x:f t="shared" si="0"/>
      </x:c>
      <x:c r="P15" s="40" t="str">
        <x:f t="shared" si="0"/>
      </x:c>
      <x:c r="Q15" s="40" t="str">
        <x:f t="shared" si="0"/>
      </x:c>
      <x:c r="R15" s="40" t="str">
        <x:f t="shared" si="0"/>
      </x:c>
      <x:c r="S15" s="40">
        <x:f t="shared" si="0"/>
        <x:v>1</x:v>
      </x:c>
      <x:c r="T15" s="41" t="str">
        <x:f t="shared" si="0"/>
      </x:c>
    </x:row>
    <x:row r="16" ht="43.95000076293945" customHeight="1">
      <x:c r="A16" s="12" t="s">
        <x:v>29</x:v>
      </x:c>
      <x:c r="B16" s="12" t="str">
        <x:f>VLOOKUP($A16,Tareas!$A$8:$P$63,4,FALSE)</x:f>
        <x:v>Integrar carga y deduplicación global</x:v>
      </x:c>
      <x:c r="C16" s="12" t="str">
        <x:f>VLOOKUP($A16,Tareas!$A$8:$P$63,5,FALSE)</x:f>
        <x:v>Geovanny</x:v>
      </x:c>
      <x:c r="D16" s="19" t="n">
        <x:f>VLOOKUP($A16,Tareas!$A$8:$P$63,7,FALSE)</x:f>
        <x:v>46289</x:v>
      </x:c>
      <x:c r="E16" s="19" t="n">
        <x:f>VLOOKUP($A16,Tareas!$A$8:$P$63,8,FALSE)</x:f>
        <x:v>46289</x:v>
      </x:c>
      <x:c r="F16" s="12" t="str">
        <x:f>VLOOKUP($A16,Tareas!$A$8:$P$63,11,FALSE)</x:f>
        <x:v>Verificada</x:v>
      </x:c>
      <x:c r="G16" s="36" t="str">
        <x:f t="shared" si="0"/>
      </x:c>
      <x:c r="H16" s="37" t="str">
        <x:f t="shared" si="0"/>
      </x:c>
      <x:c r="I16" s="37" t="str">
        <x:f t="shared" si="0"/>
      </x:c>
      <x:c r="J16" s="37" t="str">
        <x:f t="shared" si="0"/>
      </x:c>
      <x:c r="K16" s="37" t="str">
        <x:f t="shared" si="0"/>
      </x:c>
      <x:c r="L16" s="37" t="str">
        <x:f t="shared" si="0"/>
      </x:c>
      <x:c r="M16" s="37" t="str">
        <x:f t="shared" si="0"/>
      </x:c>
      <x:c r="N16" s="37" t="str">
        <x:f t="shared" si="0"/>
      </x:c>
      <x:c r="O16" s="37" t="str">
        <x:f t="shared" si="0"/>
      </x:c>
      <x:c r="P16" s="37" t="str">
        <x:f t="shared" si="0"/>
      </x:c>
      <x:c r="Q16" s="37" t="str">
        <x:f t="shared" si="0"/>
      </x:c>
      <x:c r="R16" s="37" t="str">
        <x:f t="shared" si="0"/>
      </x:c>
      <x:c r="S16" s="37">
        <x:f t="shared" si="0"/>
        <x:v>1</x:v>
      </x:c>
      <x:c r="T16" s="38" t="str">
        <x:f t="shared" si="0"/>
      </x:c>
    </x:row>
    <x:row r="17" ht="43.95000076293945" customHeight="1">
      <x:c r="A17" s="4" t="s">
        <x:v>30</x:v>
      </x:c>
      <x:c r="B17" s="4" t="str">
        <x:f>VLOOKUP($A17,Tareas!$A$8:$P$63,4,FALSE)</x:f>
        <x:v>Proteger galería y descarga WebP</x:v>
      </x:c>
      <x:c r="C17" s="4" t="str">
        <x:f>VLOOKUP($A17,Tareas!$A$8:$P$63,5,FALSE)</x:f>
        <x:v>Geovanny</x:v>
      </x:c>
      <x:c r="D17" s="18" t="n">
        <x:f>VLOOKUP($A17,Tareas!$A$8:$P$63,7,FALSE)</x:f>
        <x:v>46290</x:v>
      </x:c>
      <x:c r="E17" s="18" t="n">
        <x:f>VLOOKUP($A17,Tareas!$A$8:$P$63,8,FALSE)</x:f>
        <x:v>46290</x:v>
      </x:c>
      <x:c r="F17" s="4" t="str">
        <x:f>VLOOKUP($A17,Tareas!$A$8:$P$63,11,FALSE)</x:f>
        <x:v>Verificada</x:v>
      </x:c>
      <x:c r="G17" s="39" t="str">
        <x:f t="shared" si="0"/>
      </x:c>
      <x:c r="H17" s="40" t="str">
        <x:f t="shared" si="0"/>
      </x:c>
      <x:c r="I17" s="40" t="str">
        <x:f t="shared" si="0"/>
      </x:c>
      <x:c r="J17" s="40" t="str">
        <x:f t="shared" si="0"/>
      </x:c>
      <x:c r="K17" s="40" t="str">
        <x:f t="shared" si="0"/>
      </x:c>
      <x:c r="L17" s="40" t="str">
        <x:f t="shared" si="0"/>
      </x:c>
      <x:c r="M17" s="40" t="str">
        <x:f t="shared" si="0"/>
      </x:c>
      <x:c r="N17" s="40" t="str">
        <x:f t="shared" si="0"/>
      </x:c>
      <x:c r="O17" s="40" t="str">
        <x:f t="shared" si="0"/>
      </x:c>
      <x:c r="P17" s="40" t="str">
        <x:f t="shared" si="0"/>
      </x:c>
      <x:c r="Q17" s="40" t="str">
        <x:f t="shared" si="0"/>
      </x:c>
      <x:c r="R17" s="40" t="str">
        <x:f t="shared" si="0"/>
      </x:c>
      <x:c r="S17" s="40" t="str">
        <x:f t="shared" si="0"/>
      </x:c>
      <x:c r="T17" s="41">
        <x:f t="shared" si="0"/>
        <x:v>1</x:v>
      </x:c>
    </x:row>
    <x:row r="18" ht="43.95000076293945" customHeight="1">
      <x:c r="A18" s="12" t="s">
        <x:v>31</x:v>
      </x:c>
      <x:c r="B18" s="12" t="str">
        <x:f>VLOOKUP($A18,Tareas!$A$8:$P$63,4,FALSE)</x:f>
        <x:v>Preparar formularios y estados de interfaz</x:v>
      </x:c>
      <x:c r="C18" s="12" t="str">
        <x:f>VLOOKUP($A18,Tareas!$A$8:$P$63,5,FALSE)</x:f>
        <x:v>Diego</x:v>
      </x:c>
      <x:c r="D18" s="19" t="n">
        <x:f>VLOOKUP($A18,Tareas!$A$8:$P$63,7,FALSE)</x:f>
        <x:v>46288</x:v>
      </x:c>
      <x:c r="E18" s="19" t="n">
        <x:f>VLOOKUP($A18,Tareas!$A$8:$P$63,8,FALSE)</x:f>
        <x:v>46288</x:v>
      </x:c>
      <x:c r="F18" s="12" t="str">
        <x:f>VLOOKUP($A18,Tareas!$A$8:$P$63,11,FALSE)</x:f>
        <x:v>Implementada</x:v>
      </x:c>
      <x:c r="G18" s="36" t="str">
        <x:f t="shared" ref="G18:T23" si="1">IF(AND(G$7&gt;=$D18,G$7&lt;=$E18),1,"")</x:f>
      </x:c>
      <x:c r="H18" s="37" t="str">
        <x:f t="shared" si="1"/>
      </x:c>
      <x:c r="I18" s="37" t="str">
        <x:f t="shared" si="1"/>
      </x:c>
      <x:c r="J18" s="37" t="str">
        <x:f t="shared" si="1"/>
      </x:c>
      <x:c r="K18" s="37" t="str">
        <x:f t="shared" si="1"/>
      </x:c>
      <x:c r="L18" s="37" t="str">
        <x:f t="shared" si="1"/>
      </x:c>
      <x:c r="M18" s="37" t="str">
        <x:f t="shared" si="1"/>
      </x:c>
      <x:c r="N18" s="37" t="str">
        <x:f t="shared" si="1"/>
      </x:c>
      <x:c r="O18" s="37" t="str">
        <x:f t="shared" si="1"/>
      </x:c>
      <x:c r="P18" s="37" t="str">
        <x:f t="shared" si="1"/>
      </x:c>
      <x:c r="Q18" s="37" t="str">
        <x:f t="shared" si="1"/>
      </x:c>
      <x:c r="R18" s="37">
        <x:f t="shared" si="1"/>
        <x:v>1</x:v>
      </x:c>
      <x:c r="S18" s="37" t="str">
        <x:f t="shared" si="1"/>
      </x:c>
      <x:c r="T18" s="38" t="str">
        <x:f t="shared" si="1"/>
      </x:c>
    </x:row>
    <x:row r="19" ht="43.95000076293945" customHeight="1">
      <x:c r="A19" s="4" t="s">
        <x:v>32</x:v>
      </x:c>
      <x:c r="B19" s="4" t="str">
        <x:f>VLOOKUP($A19,Tareas!$A$8:$P$63,4,FALSE)</x:f>
        <x:v>Conectar acceso, Free, carga y galería</x:v>
      </x:c>
      <x:c r="C19" s="4" t="str">
        <x:f>VLOOKUP($A19,Tareas!$A$8:$P$63,5,FALSE)</x:f>
        <x:v>Diego</x:v>
      </x:c>
      <x:c r="D19" s="18" t="n">
        <x:f>VLOOKUP($A19,Tareas!$A$8:$P$63,7,FALSE)</x:f>
        <x:v>46289</x:v>
      </x:c>
      <x:c r="E19" s="18" t="n">
        <x:f>VLOOKUP($A19,Tareas!$A$8:$P$63,8,FALSE)</x:f>
        <x:v>46290</x:v>
      </x:c>
      <x:c r="F19" s="4" t="str">
        <x:f>VLOOKUP($A19,Tareas!$A$8:$P$63,11,FALSE)</x:f>
        <x:v>Implementada</x:v>
      </x:c>
      <x:c r="G19" s="39" t="str">
        <x:f t="shared" si="1"/>
      </x:c>
      <x:c r="H19" s="40" t="str">
        <x:f t="shared" si="1"/>
      </x:c>
      <x:c r="I19" s="40" t="str">
        <x:f t="shared" si="1"/>
      </x:c>
      <x:c r="J19" s="40" t="str">
        <x:f t="shared" si="1"/>
      </x:c>
      <x:c r="K19" s="40" t="str">
        <x:f t="shared" si="1"/>
      </x:c>
      <x:c r="L19" s="40" t="str">
        <x:f t="shared" si="1"/>
      </x:c>
      <x:c r="M19" s="40" t="str">
        <x:f t="shared" si="1"/>
      </x:c>
      <x:c r="N19" s="40" t="str">
        <x:f t="shared" si="1"/>
      </x:c>
      <x:c r="O19" s="40" t="str">
        <x:f t="shared" si="1"/>
      </x:c>
      <x:c r="P19" s="40" t="str">
        <x:f t="shared" si="1"/>
      </x:c>
      <x:c r="Q19" s="40" t="str">
        <x:f t="shared" si="1"/>
      </x:c>
      <x:c r="R19" s="40" t="str">
        <x:f t="shared" si="1"/>
      </x:c>
      <x:c r="S19" s="40">
        <x:f t="shared" si="1"/>
        <x:v>1</x:v>
      </x:c>
      <x:c r="T19" s="41">
        <x:f t="shared" si="1"/>
        <x:v>1</x:v>
      </x:c>
    </x:row>
    <x:row r="20" ht="43.95000076293945" customHeight="1">
      <x:c r="A20" s="12" t="s">
        <x:v>33</x:v>
      </x:c>
      <x:c r="B20" s="12" t="str">
        <x:f>VLOOKUP($A20,Tareas!$A$8:$P$63,4,FALSE)</x:f>
        <x:v>Calcular ahorro básico del administrador</x:v>
      </x:c>
      <x:c r="C20" s="12" t="str">
        <x:f>VLOOKUP($A20,Tareas!$A$8:$P$63,5,FALSE)</x:f>
        <x:v>Geovanny</x:v>
      </x:c>
      <x:c r="D20" s="19" t="n">
        <x:f>VLOOKUP($A20,Tareas!$A$8:$P$63,7,FALSE)</x:f>
        <x:v>46290</x:v>
      </x:c>
      <x:c r="E20" s="19" t="n">
        <x:f>VLOOKUP($A20,Tareas!$A$8:$P$63,8,FALSE)</x:f>
        <x:v>46290</x:v>
      </x:c>
      <x:c r="F20" s="12" t="str">
        <x:f>VLOOKUP($A20,Tareas!$A$8:$P$63,11,FALSE)</x:f>
        <x:v>Verificada</x:v>
      </x:c>
      <x:c r="G20" s="36" t="str">
        <x:f t="shared" si="1"/>
      </x:c>
      <x:c r="H20" s="37" t="str">
        <x:f t="shared" si="1"/>
      </x:c>
      <x:c r="I20" s="37" t="str">
        <x:f t="shared" si="1"/>
      </x:c>
      <x:c r="J20" s="37" t="str">
        <x:f t="shared" si="1"/>
      </x:c>
      <x:c r="K20" s="37" t="str">
        <x:f t="shared" si="1"/>
      </x:c>
      <x:c r="L20" s="37" t="str">
        <x:f t="shared" si="1"/>
      </x:c>
      <x:c r="M20" s="37" t="str">
        <x:f t="shared" si="1"/>
      </x:c>
      <x:c r="N20" s="37" t="str">
        <x:f t="shared" si="1"/>
      </x:c>
      <x:c r="O20" s="37" t="str">
        <x:f t="shared" si="1"/>
      </x:c>
      <x:c r="P20" s="37" t="str">
        <x:f t="shared" si="1"/>
      </x:c>
      <x:c r="Q20" s="37" t="str">
        <x:f t="shared" si="1"/>
      </x:c>
      <x:c r="R20" s="37" t="str">
        <x:f t="shared" si="1"/>
      </x:c>
      <x:c r="S20" s="37" t="str">
        <x:f t="shared" si="1"/>
      </x:c>
      <x:c r="T20" s="38">
        <x:f t="shared" si="1"/>
        <x:v>1</x:v>
      </x:c>
    </x:row>
    <x:row r="21" ht="43.95000076293945" customHeight="1">
      <x:c r="A21" s="4" t="s">
        <x:v>34</x:v>
      </x:c>
      <x:c r="B21" s="4" t="str">
        <x:f>VLOOKUP($A21,Tareas!$A$8:$P$63,4,FALSE)</x:f>
        <x:v>Actualizar requisitos y diagramas</x:v>
      </x:c>
      <x:c r="C21" s="4" t="str">
        <x:f>VLOOKUP($A21,Tareas!$A$8:$P$63,5,FALSE)</x:f>
        <x:v>Equipo</x:v>
      </x:c>
      <x:c r="D21" s="18" t="n">
        <x:f>VLOOKUP($A21,Tareas!$A$8:$P$63,7,FALSE)</x:f>
        <x:v>46288</x:v>
      </x:c>
      <x:c r="E21" s="18" t="n">
        <x:f>VLOOKUP($A21,Tareas!$A$8:$P$63,8,FALSE)</x:f>
        <x:v>46289</x:v>
      </x:c>
      <x:c r="F21" s="4" t="str">
        <x:f>VLOOKUP($A21,Tareas!$A$8:$P$63,11,FALSE)</x:f>
        <x:v>En revisión</x:v>
      </x:c>
      <x:c r="G21" s="39" t="str">
        <x:f t="shared" si="1"/>
      </x:c>
      <x:c r="H21" s="40" t="str">
        <x:f t="shared" si="1"/>
      </x:c>
      <x:c r="I21" s="40" t="str">
        <x:f t="shared" si="1"/>
      </x:c>
      <x:c r="J21" s="40" t="str">
        <x:f t="shared" si="1"/>
      </x:c>
      <x:c r="K21" s="40" t="str">
        <x:f t="shared" si="1"/>
      </x:c>
      <x:c r="L21" s="40" t="str">
        <x:f t="shared" si="1"/>
      </x:c>
      <x:c r="M21" s="40" t="str">
        <x:f t="shared" si="1"/>
      </x:c>
      <x:c r="N21" s="40" t="str">
        <x:f t="shared" si="1"/>
      </x:c>
      <x:c r="O21" s="40" t="str">
        <x:f t="shared" si="1"/>
      </x:c>
      <x:c r="P21" s="40" t="str">
        <x:f t="shared" si="1"/>
      </x:c>
      <x:c r="Q21" s="40" t="str">
        <x:f t="shared" si="1"/>
      </x:c>
      <x:c r="R21" s="40">
        <x:f t="shared" si="1"/>
        <x:v>1</x:v>
      </x:c>
      <x:c r="S21" s="40">
        <x:f t="shared" si="1"/>
        <x:v>1</x:v>
      </x:c>
      <x:c r="T21" s="41" t="str">
        <x:f t="shared" si="1"/>
      </x:c>
    </x:row>
    <x:row r="22" ht="43.95000076293945" customHeight="1">
      <x:c r="A22" s="12" t="s">
        <x:v>35</x:v>
      </x:c>
      <x:c r="B22" s="12" t="str">
        <x:f>VLOOKUP($A22,Tareas!$A$8:$P$63,4,FALSE)</x:f>
        <x:v>Probar flujo del 30% con dos cuentas</x:v>
      </x:c>
      <x:c r="C22" s="12" t="str">
        <x:f>VLOOKUP($A22,Tareas!$A$8:$P$63,5,FALSE)</x:f>
        <x:v>Equipo</x:v>
      </x:c>
      <x:c r="D22" s="19" t="n">
        <x:f>VLOOKUP($A22,Tareas!$A$8:$P$63,7,FALSE)</x:f>
        <x:v>46290</x:v>
      </x:c>
      <x:c r="E22" s="19" t="n">
        <x:f>VLOOKUP($A22,Tareas!$A$8:$P$63,8,FALSE)</x:f>
        <x:v>46290</x:v>
      </x:c>
      <x:c r="F22" s="12" t="str">
        <x:f>VLOOKUP($A22,Tareas!$A$8:$P$63,11,FALSE)</x:f>
        <x:v>Parcial</x:v>
      </x:c>
      <x:c r="G22" s="36" t="str">
        <x:f t="shared" si="1"/>
      </x:c>
      <x:c r="H22" s="37" t="str">
        <x:f t="shared" si="1"/>
      </x:c>
      <x:c r="I22" s="37" t="str">
        <x:f t="shared" si="1"/>
      </x:c>
      <x:c r="J22" s="37" t="str">
        <x:f t="shared" si="1"/>
      </x:c>
      <x:c r="K22" s="37" t="str">
        <x:f t="shared" si="1"/>
      </x:c>
      <x:c r="L22" s="37" t="str">
        <x:f t="shared" si="1"/>
      </x:c>
      <x:c r="M22" s="37" t="str">
        <x:f t="shared" si="1"/>
      </x:c>
      <x:c r="N22" s="37" t="str">
        <x:f t="shared" si="1"/>
      </x:c>
      <x:c r="O22" s="37" t="str">
        <x:f t="shared" si="1"/>
      </x:c>
      <x:c r="P22" s="37" t="str">
        <x:f t="shared" si="1"/>
      </x:c>
      <x:c r="Q22" s="37" t="str">
        <x:f t="shared" si="1"/>
      </x:c>
      <x:c r="R22" s="37" t="str">
        <x:f t="shared" si="1"/>
      </x:c>
      <x:c r="S22" s="37" t="str">
        <x:f t="shared" si="1"/>
      </x:c>
      <x:c r="T22" s="38">
        <x:f t="shared" si="1"/>
        <x:v>1</x:v>
      </x:c>
    </x:row>
    <x:row r="23" ht="43.95000076293945" customHeight="1">
      <x:c r="A23" s="4" t="s">
        <x:v>36</x:v>
      </x:c>
      <x:c r="B23" s="4" t="str">
        <x:f>VLOOKUP($A23,Tareas!$A$8:$P$63,4,FALSE)</x:f>
        <x:v>Corregir, revisar PR y presentar 30%</x:v>
      </x:c>
      <x:c r="C23" s="4" t="str">
        <x:f>VLOOKUP($A23,Tareas!$A$8:$P$63,5,FALSE)</x:f>
        <x:v>Equipo</x:v>
      </x:c>
      <x:c r="D23" s="18" t="n">
        <x:f>VLOOKUP($A23,Tareas!$A$8:$P$63,7,FALSE)</x:f>
        <x:v>46290</x:v>
      </x:c>
      <x:c r="E23" s="18" t="n">
        <x:f>VLOOKUP($A23,Tareas!$A$8:$P$63,8,FALSE)</x:f>
        <x:v>46290</x:v>
      </x:c>
      <x:c r="F23" s="4" t="str">
        <x:f>VLOOKUP($A23,Tareas!$A$8:$P$63,11,FALSE)</x:f>
        <x:v>Pendiente</x:v>
      </x:c>
      <x:c r="G23" s="42" t="str">
        <x:f t="shared" si="1"/>
      </x:c>
      <x:c r="H23" s="43" t="str">
        <x:f t="shared" si="1"/>
      </x:c>
      <x:c r="I23" s="43" t="str">
        <x:f t="shared" si="1"/>
      </x:c>
      <x:c r="J23" s="43" t="str">
        <x:f t="shared" si="1"/>
      </x:c>
      <x:c r="K23" s="43" t="str">
        <x:f t="shared" si="1"/>
      </x:c>
      <x:c r="L23" s="43" t="str">
        <x:f t="shared" si="1"/>
      </x:c>
      <x:c r="M23" s="43" t="str">
        <x:f t="shared" si="1"/>
      </x:c>
      <x:c r="N23" s="43" t="str">
        <x:f t="shared" si="1"/>
      </x:c>
      <x:c r="O23" s="43" t="str">
        <x:f t="shared" si="1"/>
      </x:c>
      <x:c r="P23" s="43" t="str">
        <x:f t="shared" si="1"/>
      </x:c>
      <x:c r="Q23" s="43" t="str">
        <x:f t="shared" si="1"/>
      </x:c>
      <x:c r="R23" s="43" t="str">
        <x:f t="shared" si="1"/>
      </x:c>
      <x:c r="S23" s="43" t="str">
        <x:f t="shared" si="1"/>
      </x:c>
      <x:c r="T23" s="44">
        <x:f t="shared" si="1"/>
        <x:v>1</x:v>
      </x:c>
    </x:row>
    <x:row r="24" ht="25.049999237060547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5.049999237060547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5.049999237060547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</x:sheetData>
  <x:conditionalFormatting sqref="G8:T8">
    <x:cfRule type="cellIs" dxfId="3" priority="1" operator="equal">
      <x:formula>1</x:formula>
    </x:cfRule>
  </x:conditionalFormatting>
  <x:conditionalFormatting sqref="G9:T23">
    <x:cfRule type="cellIs" dxfId="2" priority="2" operator="equal">
      <x:formula>1</x:formula>
    </x:cfRule>
  </x:conditionalFormatting>
  <x:conditionalFormatting sqref="F8:F23">
    <x:cfRule type="expression" dxfId="20" priority="3">
      <x:formula>$F8="Implementada"</x:formula>
    </x:cfRule>
    <x:cfRule type="expression" dxfId="21" priority="4">
      <x:formula>$F8="Parcial"</x:formula>
    </x:cfRule>
    <x:cfRule type="expression" dxfId="24" priority="5">
      <x:formula>$F8="Verificada"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196B2"/>
  </x:sheetPr>
  <x:sheetViews>
    <x:sheetView showGridLines="0" workbookViewId="0">
      <x:pane xSplit="4" ySplit="7" topLeftCell="E8" activePane="bottomRight" state="frozen"/>
    </x:sheetView>
  </x:sheetViews>
  <x:sheetFormatPr baseColWidth="10" defaultColWidth="8.796875" defaultRowHeight="13.800000190734863"/>
  <x:cols>
    <x:col min="1" max="1" width="9.5" customWidth="1"/>
    <x:col min="2" max="2" width="6.8984375" customWidth="1"/>
    <x:col min="3" max="3" width="15.19921875" customWidth="1"/>
    <x:col min="4" max="4" width="35" customWidth="1"/>
    <x:col min="5" max="5" width="14.3984375" customWidth="1"/>
    <x:col min="6" max="6" width="17.5" customWidth="1"/>
    <x:col min="7" max="8" width="12.8984375" customWidth="1"/>
    <x:col min="9" max="9" width="10.59765625" customWidth="1"/>
    <x:col min="10" max="10" width="21.8984375" customWidth="1"/>
    <x:col min="11" max="11" width="16" customWidth="1"/>
    <x:col min="12" max="12" width="60" customWidth="1"/>
    <x:col min="13" max="13" width="52.5" hidden="0" customWidth="1"/>
    <x:col min="14" max="14" width="14" customWidth="1"/>
    <x:col min="15" max="15" width="18.09765625" customWidth="1"/>
    <x:col min="16" max="16" width="16.8984375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30" customHeight="1">
      <x:c r="A2" s="2" t="s">
        <x:v>69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5.049999237060547" customHeight="1">
      <x:c r="A3" s="3" t="str">
        <x:v>Actualización del 25/09/2026 desde tema-y-flujo-git @ a560a45. Cambia estados y evidencia aquí; el Gantt conserva fechas planificadas.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5.049999237060547" customHeight="1">
      <x:c r="A4" s="3" t="s">
        <x:v>70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.049999237060547" customHeight="1">
      <x:c r="A5" s="3" t="str">
        <x:v>Verificada: código y pruebas automatizadas aprobados. Implementada: código presente y compilado. En revisión: falta conciliar evidencia.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25.049999237060547" customHeight="1">
      <x:c r="A6" s="3" t="s">
        <x:v>71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34.04999923706055" customHeight="1">
      <x:c r="A7" s="5" t="s">
        <x:v>68</x:v>
      </x:c>
      <x:c r="B7" s="5" t="s">
        <x:v>72</x:v>
      </x:c>
      <x:c r="C7" s="5" t="s">
        <x:v>73</x:v>
      </x:c>
      <x:c r="D7" s="5" t="s">
        <x:v>5</x:v>
      </x:c>
      <x:c r="E7" s="5" t="s">
        <x:v>6</x:v>
      </x:c>
      <x:c r="F7" s="5" t="s">
        <x:v>74</x:v>
      </x:c>
      <x:c r="G7" s="5" t="s">
        <x:v>75</x:v>
      </x:c>
      <x:c r="H7" s="5" t="s">
        <x:v>76</x:v>
      </x:c>
      <x:c r="I7" s="5" t="s">
        <x:v>77</x:v>
      </x:c>
      <x:c r="J7" s="5" t="s">
        <x:v>78</x:v>
      </x:c>
      <x:c r="K7" s="5" t="s">
        <x:v>9</x:v>
      </x:c>
      <x:c r="L7" s="5" t="s">
        <x:v>79</x:v>
      </x:c>
      <x:c r="M7" s="5" t="s">
        <x:v>80</x:v>
      </x:c>
      <x:c r="N7" s="5" t="s">
        <x:v>81</x:v>
      </x:c>
      <x:c r="O7" s="5" t="s">
        <x:v>82</x:v>
      </x:c>
      <x:c r="P7" s="5" t="s">
        <x:v>83</x:v>
      </x:c>
    </x:row>
    <x:row r="8" ht="70.05000305175781" customHeight="1">
      <x:c r="A8" s="4" t="s">
        <x:v>10</x:v>
      </x:c>
      <x:c r="B8" s="4" t="s">
        <x:v>84</x:v>
      </x:c>
      <x:c r="C8" s="4" t="s">
        <x:v>85</x:v>
      </x:c>
      <x:c r="D8" s="4" t="s">
        <x:v>86</x:v>
      </x:c>
      <x:c r="E8" s="4" t="s">
        <x:v>87</x:v>
      </x:c>
      <x:c r="F8" s="4" t="s">
        <x:v>88</x:v>
      </x:c>
      <x:c r="G8" s="8">
        <x:v>46258</x:v>
      </x:c>
      <x:c r="H8" s="8">
        <x:v>46259</x:v>
      </x:c>
      <x:c r="I8" s="7" t="n">
        <x:f t="shared" ref="I8:I39" si="0">IF(OR(G8="",H8=""),"",H8-G8+1)</x:f>
        <x:v>2</x:v>
      </x:c>
      <x:c r="J8" s="4" t="s">
        <x:v>89</x:v>
      </x:c>
      <x:c r="K8" s="9" t="s">
        <x:v>90</x:v>
      </x:c>
      <x:c r="L8" s="4" t="s">
        <x:v>91</x:v>
      </x:c>
      <x:c r="M8" s="9"/>
      <x:c r="N8" s="6"/>
      <x:c r="O8" s="4" t="n">
        <x:f>IF(COUNT(G8:H8)&lt;2,"Faltan fechas",MIN(H8-G8,VLOOKUP(B8,'Entregas y equipo'!$A$8:$D$13,4,FALSE)-H8,G8-N8))</x:f>
        <x:v>1</x:v>
      </x:c>
      <x:c r="P8" s="4" t="s">
        <x:v>92</x:v>
      </x:c>
    </x:row>
    <x:row r="9" ht="70.05000305175781" customHeight="1">
      <x:c r="A9" s="4" t="s">
        <x:v>12</x:v>
      </x:c>
      <x:c r="B9" s="4" t="s">
        <x:v>84</x:v>
      </x:c>
      <x:c r="C9" s="4" t="s">
        <x:v>93</x:v>
      </x:c>
      <x:c r="D9" s="4" t="s">
        <x:v>94</x:v>
      </x:c>
      <x:c r="E9" s="4" t="s">
        <x:v>87</x:v>
      </x:c>
      <x:c r="F9" s="4" t="s">
        <x:v>88</x:v>
      </x:c>
      <x:c r="G9" s="8">
        <x:v>46259</x:v>
      </x:c>
      <x:c r="H9" s="8">
        <x:v>46261</x:v>
      </x:c>
      <x:c r="I9" s="7">
        <x:f t="shared" si="0"/>
        <x:v>3</x:v>
      </x:c>
      <x:c r="J9" s="4" t="s">
        <x:v>10</x:v>
      </x:c>
      <x:c r="K9" s="9" t="s">
        <x:v>90</x:v>
      </x:c>
      <x:c r="L9" s="4" t="s">
        <x:v>95</x:v>
      </x:c>
      <x:c r="M9" s="9"/>
      <x:c r="N9" s="6">
        <x:f>MAX(VLOOKUP("S0-01",$A$8:$P$63,8,FALSE))</x:f>
        <x:v>46259</x:v>
      </x:c>
      <x:c r="O9" s="4">
        <x:f>IF(COUNT(G9:H9)&lt;2,"Faltan fechas",MIN(H9-G9,VLOOKUP(B9,'Entregas y equipo'!$A$8:$D$13,4,FALSE)-H9,G9-N9))</x:f>
        <x:v>0</x:v>
      </x:c>
      <x:c r="P9" s="4" t="s">
        <x:v>92</x:v>
      </x:c>
    </x:row>
    <x:row r="10" ht="70.05000305175781" customHeight="1">
      <x:c r="A10" s="4" t="s">
        <x:v>13</x:v>
      </x:c>
      <x:c r="B10" s="4" t="s">
        <x:v>84</x:v>
      </x:c>
      <x:c r="C10" s="4" t="s">
        <x:v>96</x:v>
      </x:c>
      <x:c r="D10" s="4" t="s">
        <x:v>97</x:v>
      </x:c>
      <x:c r="E10" s="4" t="s">
        <x:v>87</x:v>
      </x:c>
      <x:c r="F10" s="4" t="s">
        <x:v>88</x:v>
      </x:c>
      <x:c r="G10" s="8">
        <x:v>46260</x:v>
      </x:c>
      <x:c r="H10" s="8">
        <x:v>46261</x:v>
      </x:c>
      <x:c r="I10" s="7">
        <x:f t="shared" si="0"/>
        <x:v>2</x:v>
      </x:c>
      <x:c r="J10" s="4" t="s">
        <x:v>10</x:v>
      </x:c>
      <x:c r="K10" s="9" t="s">
        <x:v>98</x:v>
      </x:c>
      <x:c r="L10" s="4" t="s">
        <x:v>99</x:v>
      </x:c>
      <x:c r="M10" s="9"/>
      <x:c r="N10" s="6">
        <x:f>MAX(VLOOKUP("S0-01",$A$8:$P$63,8,FALSE))</x:f>
        <x:v>46259</x:v>
      </x:c>
      <x:c r="O10" s="4">
        <x:f>IF(COUNT(G10:H10)&lt;2,"Faltan fechas",MIN(H10-G10,VLOOKUP(B10,'Entregas y equipo'!$A$8:$D$13,4,FALSE)-H10,G10-N10))</x:f>
        <x:v>1</x:v>
      </x:c>
      <x:c r="P10" s="4" t="s">
        <x:v>92</x:v>
      </x:c>
    </x:row>
    <x:row r="11" ht="70.05000305175781" customHeight="1">
      <x:c r="A11" s="4" t="s">
        <x:v>14</x:v>
      </x:c>
      <x:c r="B11" s="4" t="s">
        <x:v>84</x:v>
      </x:c>
      <x:c r="C11" s="4" t="s">
        <x:v>100</x:v>
      </x:c>
      <x:c r="D11" s="4" t="s">
        <x:v>101</x:v>
      </x:c>
      <x:c r="E11" s="4" t="s">
        <x:v>87</x:v>
      </x:c>
      <x:c r="F11" s="4" t="s">
        <x:v>88</x:v>
      </x:c>
      <x:c r="G11" s="8">
        <x:v>46262</x:v>
      </x:c>
      <x:c r="H11" s="8">
        <x:v>46262</x:v>
      </x:c>
      <x:c r="I11" s="7">
        <x:f t="shared" si="0"/>
        <x:v>1</x:v>
      </x:c>
      <x:c r="J11" s="4" t="s">
        <x:v>102</x:v>
      </x:c>
      <x:c r="K11" s="9" t="s">
        <x:v>90</x:v>
      </x:c>
      <x:c r="L11" s="4" t="s">
        <x:v>103</x:v>
      </x:c>
      <x:c r="M11" s="9"/>
      <x:c r="N11" s="6">
        <x:f>MAX(VLOOKUP("S0-02",$A$8:$P$63,8,FALSE),VLOOKUP("S0-03",$A$8:$P$63,8,FALSE))</x:f>
        <x:v>46261</x:v>
      </x:c>
      <x:c r="O11" s="4">
        <x:f>IF(COUNT(G11:H11)&lt;2,"Faltan fechas",MIN(H11-G11,VLOOKUP(B11,'Entregas y equipo'!$A$8:$D$13,4,FALSE)-H11,G11-N11))</x:f>
        <x:v>0</x:v>
      </x:c>
      <x:c r="P11" s="4" t="s">
        <x:v>92</x:v>
      </x:c>
    </x:row>
    <x:row r="12" ht="70.05000305175781" customHeight="1">
      <x:c r="A12" s="4" t="s">
        <x:v>15</x:v>
      </x:c>
      <x:c r="B12" s="4" t="s">
        <x:v>104</x:v>
      </x:c>
      <x:c r="C12" s="4" t="s">
        <x:v>105</x:v>
      </x:c>
      <x:c r="D12" s="4" t="s">
        <x:v>106</x:v>
      </x:c>
      <x:c r="E12" s="4" t="s">
        <x:v>107</x:v>
      </x:c>
      <x:c r="F12" s="4" t="s">
        <x:v>108</x:v>
      </x:c>
      <x:c r="G12" s="8">
        <x:v>46265</x:v>
      </x:c>
      <x:c r="H12" s="8">
        <x:v>46268</x:v>
      </x:c>
      <x:c r="I12" s="7">
        <x:f t="shared" si="0"/>
        <x:v>4</x:v>
      </x:c>
      <x:c r="J12" s="4" t="s">
        <x:v>14</x:v>
      </x:c>
      <x:c r="K12" s="9" t="s">
        <x:v>90</x:v>
      </x:c>
      <x:c r="L12" s="4" t="s">
        <x:v>109</x:v>
      </x:c>
      <x:c r="M12" s="9"/>
      <x:c r="N12" s="6">
        <x:f>MAX(VLOOKUP("S0-04",$A$8:$P$63,8,FALSE))</x:f>
        <x:v>46262</x:v>
      </x:c>
      <x:c r="O12" s="4">
        <x:f>IF(COUNT(G12:H12)&lt;2,"Faltan fechas",MIN(H12-G12,VLOOKUP(B12,'Entregas y equipo'!$A$8:$D$13,4,FALSE)-H12,G12-N12))</x:f>
        <x:v>3</x:v>
      </x:c>
      <x:c r="P12" s="4" t="s">
        <x:v>110</x:v>
      </x:c>
    </x:row>
    <x:row r="13" ht="70.05000305175781" customHeight="1">
      <x:c r="A13" s="4" t="s">
        <x:v>16</x:v>
      </x:c>
      <x:c r="B13" s="4" t="s">
        <x:v>104</x:v>
      </x:c>
      <x:c r="C13" s="4" t="s">
        <x:v>105</x:v>
      </x:c>
      <x:c r="D13" s="4" t="s">
        <x:v>111</x:v>
      </x:c>
      <x:c r="E13" s="4" t="s">
        <x:v>112</x:v>
      </x:c>
      <x:c r="F13" s="4" t="s">
        <x:v>107</x:v>
      </x:c>
      <x:c r="G13" s="8">
        <x:v>46265</x:v>
      </x:c>
      <x:c r="H13" s="8">
        <x:v>46268</x:v>
      </x:c>
      <x:c r="I13" s="7">
        <x:f t="shared" si="0"/>
        <x:v>4</x:v>
      </x:c>
      <x:c r="J13" s="4" t="s">
        <x:v>14</x:v>
      </x:c>
      <x:c r="K13" s="9" t="s">
        <x:v>90</x:v>
      </x:c>
      <x:c r="L13" s="4" t="s">
        <x:v>113</x:v>
      </x:c>
      <x:c r="M13" s="9"/>
      <x:c r="N13" s="6">
        <x:f>MAX(VLOOKUP("S0-04",$A$8:$P$63,8,FALSE))</x:f>
        <x:v>46262</x:v>
      </x:c>
      <x:c r="O13" s="4">
        <x:f>IF(COUNT(G13:H13)&lt;2,"Faltan fechas",MIN(H13-G13,VLOOKUP(B13,'Entregas y equipo'!$A$8:$D$13,4,FALSE)-H13,G13-N13))</x:f>
        <x:v>3</x:v>
      </x:c>
      <x:c r="P13" s="4" t="s">
        <x:v>110</x:v>
      </x:c>
    </x:row>
    <x:row r="14" ht="70.05000305175781" customHeight="1">
      <x:c r="A14" s="4" t="s">
        <x:v>17</x:v>
      </x:c>
      <x:c r="B14" s="4" t="s">
        <x:v>104</x:v>
      </x:c>
      <x:c r="C14" s="4" t="s">
        <x:v>105</x:v>
      </x:c>
      <x:c r="D14" s="4" t="s">
        <x:v>114</x:v>
      </x:c>
      <x:c r="E14" s="4" t="s">
        <x:v>115</x:v>
      </x:c>
      <x:c r="F14" s="4" t="s">
        <x:v>112</x:v>
      </x:c>
      <x:c r="G14" s="8">
        <x:v>46265</x:v>
      </x:c>
      <x:c r="H14" s="8">
        <x:v>46268</x:v>
      </x:c>
      <x:c r="I14" s="7">
        <x:f t="shared" si="0"/>
        <x:v>4</x:v>
      </x:c>
      <x:c r="J14" s="4" t="s">
        <x:v>14</x:v>
      </x:c>
      <x:c r="K14" s="9" t="s">
        <x:v>116</x:v>
      </x:c>
      <x:c r="L14" s="4" t="s">
        <x:v>117</x:v>
      </x:c>
      <x:c r="M14" s="9"/>
      <x:c r="N14" s="6">
        <x:f>MAX(VLOOKUP("S0-04",$A$8:$P$63,8,FALSE))</x:f>
        <x:v>46262</x:v>
      </x:c>
      <x:c r="O14" s="4">
        <x:f>IF(COUNT(G14:H14)&lt;2,"Faltan fechas",MIN(H14-G14,VLOOKUP(B14,'Entregas y equipo'!$A$8:$D$13,4,FALSE)-H14,G14-N14))</x:f>
        <x:v>3</x:v>
      </x:c>
      <x:c r="P14" s="4" t="s">
        <x:v>110</x:v>
      </x:c>
    </x:row>
    <x:row r="15" ht="70.05000305175781" customHeight="1">
      <x:c r="A15" s="4" t="s">
        <x:v>18</x:v>
      </x:c>
      <x:c r="B15" s="4" t="s">
        <x:v>104</x:v>
      </x:c>
      <x:c r="C15" s="4" t="s">
        <x:v>118</x:v>
      </x:c>
      <x:c r="D15" s="4" t="s">
        <x:v>119</x:v>
      </x:c>
      <x:c r="E15" s="4" t="s">
        <x:v>108</x:v>
      </x:c>
      <x:c r="F15" s="4" t="s">
        <x:v>88</x:v>
      </x:c>
      <x:c r="G15" s="8">
        <x:v>46265</x:v>
      </x:c>
      <x:c r="H15" s="8">
        <x:v>46273</x:v>
      </x:c>
      <x:c r="I15" s="7">
        <x:f t="shared" si="0"/>
        <x:v>9</x:v>
      </x:c>
      <x:c r="J15" s="4" t="s">
        <x:v>14</x:v>
      </x:c>
      <x:c r="K15" s="9" t="s">
        <x:v>116</x:v>
      </x:c>
      <x:c r="L15" s="4" t="s">
        <x:v>120</x:v>
      </x:c>
      <x:c r="M15" s="9"/>
      <x:c r="N15" s="6">
        <x:f>MAX(VLOOKUP("S0-04",$A$8:$P$63,8,FALSE))</x:f>
        <x:v>46262</x:v>
      </x:c>
      <x:c r="O15" s="4">
        <x:f>IF(COUNT(G15:H15)&lt;2,"Faltan fechas",MIN(H15-G15,VLOOKUP(B15,'Entregas y equipo'!$A$8:$D$13,4,FALSE)-H15,G15-N15))</x:f>
        <x:v>3</x:v>
      </x:c>
      <x:c r="P15" s="4" t="s">
        <x:v>110</x:v>
      </x:c>
    </x:row>
    <x:row r="16" ht="70.05000305175781" customHeight="1">
      <x:c r="A16" s="4" t="s">
        <x:v>19</x:v>
      </x:c>
      <x:c r="B16" s="4" t="s">
        <x:v>104</x:v>
      </x:c>
      <x:c r="C16" s="4" t="s">
        <x:v>118</x:v>
      </x:c>
      <x:c r="D16" s="4" t="s">
        <x:v>121</x:v>
      </x:c>
      <x:c r="E16" s="4" t="s">
        <x:v>87</x:v>
      </x:c>
      <x:c r="F16" s="4" t="s">
        <x:v>88</x:v>
      </x:c>
      <x:c r="G16" s="8">
        <x:v>46269</x:v>
      </x:c>
      <x:c r="H16" s="8">
        <x:v>46274</x:v>
      </x:c>
      <x:c r="I16" s="7">
        <x:f t="shared" si="0"/>
        <x:v>6</x:v>
      </x:c>
      <x:c r="J16" s="4" t="s">
        <x:v>122</x:v>
      </x:c>
      <x:c r="K16" s="9" t="s">
        <x:v>116</x:v>
      </x:c>
      <x:c r="L16" s="4" t="s">
        <x:v>123</x:v>
      </x:c>
      <x:c r="M16" s="9"/>
      <x:c r="N16" s="6">
        <x:f>MAX(VLOOKUP("S1-01",$A$8:$P$63,8,FALSE),VLOOKUP("S1-02",$A$8:$P$63,8,FALSE),VLOOKUP("S1-03",$A$8:$P$63,8,FALSE))</x:f>
        <x:v>46268</x:v>
      </x:c>
      <x:c r="O16" s="4">
        <x:f>IF(COUNT(G16:H16)&lt;2,"Faltan fechas",MIN(H16-G16,VLOOKUP(B16,'Entregas y equipo'!$A$8:$D$13,4,FALSE)-H16,G16-N16))</x:f>
        <x:v>1</x:v>
      </x:c>
      <x:c r="P16" s="4" t="s">
        <x:v>110</x:v>
      </x:c>
    </x:row>
    <x:row r="17" ht="70.05000305175781" customHeight="1">
      <x:c r="A17" s="4" t="s">
        <x:v>20</x:v>
      </x:c>
      <x:c r="B17" s="4" t="s">
        <x:v>104</x:v>
      </x:c>
      <x:c r="C17" s="4" t="s">
        <x:v>100</x:v>
      </x:c>
      <x:c r="D17" s="4" t="s">
        <x:v>124</x:v>
      </x:c>
      <x:c r="E17" s="4" t="s">
        <x:v>87</x:v>
      </x:c>
      <x:c r="F17" s="4" t="s">
        <x:v>88</x:v>
      </x:c>
      <x:c r="G17" s="8">
        <x:v>46275</x:v>
      </x:c>
      <x:c r="H17" s="8">
        <x:v>46276</x:v>
      </x:c>
      <x:c r="I17" s="7">
        <x:f t="shared" si="0"/>
        <x:v>2</x:v>
      </x:c>
      <x:c r="J17" s="4" t="s">
        <x:v>125</x:v>
      </x:c>
      <x:c r="K17" s="9" t="s">
        <x:v>116</x:v>
      </x:c>
      <x:c r="L17" s="4" t="s">
        <x:v>126</x:v>
      </x:c>
      <x:c r="M17" s="9"/>
      <x:c r="N17" s="6">
        <x:f>MAX(VLOOKUP("S1-04",$A$8:$P$63,8,FALSE),VLOOKUP("S1-05",$A$8:$P$63,8,FALSE))</x:f>
        <x:v>46274</x:v>
      </x:c>
      <x:c r="O17" s="4">
        <x:f>IF(COUNT(G17:H17)&lt;2,"Faltan fechas",MIN(H17-G17,VLOOKUP(B17,'Entregas y equipo'!$A$8:$D$13,4,FALSE)-H17,G17-N17))</x:f>
        <x:v>0</x:v>
      </x:c>
      <x:c r="P17" s="4" t="s">
        <x:v>92</x:v>
      </x:c>
    </x:row>
    <x:row r="18" ht="90" customHeight="1">
      <x:c r="A18" s="4" t="s">
        <x:v>21</x:v>
      </x:c>
      <x:c r="B18" s="4" t="s">
        <x:v>127</x:v>
      </x:c>
      <x:c r="C18" s="4" t="s">
        <x:v>128</x:v>
      </x:c>
      <x:c r="D18" s="4" t="s">
        <x:v>129</x:v>
      </x:c>
      <x:c r="E18" s="4" t="s">
        <x:v>87</x:v>
      </x:c>
      <x:c r="F18" s="4" t="s">
        <x:v>88</x:v>
      </x:c>
      <x:c r="G18" s="8">
        <x:v>46286</x:v>
      </x:c>
      <x:c r="H18" s="8">
        <x:v>46286</x:v>
      </x:c>
      <x:c r="I18" s="7">
        <x:f t="shared" si="0"/>
        <x:v>1</x:v>
      </x:c>
      <x:c r="J18" s="4" t="s">
        <x:v>89</x:v>
      </x:c>
      <x:c r="K18" s="9" t="str">
        <x:v>Base verificada</x:v>
      </x:c>
      <x:c r="L18" s="4" t="s">
        <x:v>130</x:v>
      </x:c>
      <x:c r="M18" s="9" t="str">
        <x:v>Compilación aprobada. Con PostgreSQL activo, test:storage ejecutó 44 pruebas: 44 aprobadas, 0 fallidas, 0 omitidas. Migraciones aplicadas en BD temporal.</x:v>
      </x:c>
      <x:c r="N18" s="6"/>
      <x:c r="O18" s="4" t="n">
        <x:f>IF(COUNT(G18:H18)&lt;2,"Faltan fechas",MIN(H18-G18,VLOOKUP(B18,'Entregas y equipo'!$A$8:$D$13,4,FALSE)-H18,G18-N18))</x:f>
        <x:v>0</x:v>
      </x:c>
      <x:c r="P18" s="4" t="str">
        <x:v>F2 + F5 + F10 + F11</x:v>
      </x:c>
    </x:row>
    <x:row r="19" ht="90" customHeight="1">
      <x:c r="A19" s="4" t="s">
        <x:v>22</x:v>
      </x:c>
      <x:c r="B19" s="4" t="s">
        <x:v>127</x:v>
      </x:c>
      <x:c r="C19" s="4" t="s">
        <x:v>131</x:v>
      </x:c>
      <x:c r="D19" s="4" t="s">
        <x:v>132</x:v>
      </x:c>
      <x:c r="E19" s="4" t="s">
        <x:v>107</x:v>
      </x:c>
      <x:c r="F19" s="4" t="s">
        <x:v>115</x:v>
      </x:c>
      <x:c r="G19" s="8">
        <x:v>46288</x:v>
      </x:c>
      <x:c r="H19" s="8">
        <x:v>46288</x:v>
      </x:c>
      <x:c r="I19" s="7">
        <x:f t="shared" si="0"/>
        <x:v>1</x:v>
      </x:c>
      <x:c r="J19" s="4" t="s">
        <x:v>21</x:v>
      </x:c>
      <x:c r="K19" s="9" t="str">
        <x:v>Verificada</x:v>
      </x:c>
      <x:c r="L19" s="4" t="s">
        <x:v>133</x:v>
      </x:c>
      <x:c r="M19" s="9" t="str">
        <x:v>Registro y hash scrypt probados. Integración real en PostgreSQL: alta de cliente, login y carga con JWT aprobados. Revisión del equipo no comprobada.</x:v>
      </x:c>
      <x:c r="N19" s="6">
        <x:f>MAX(VLOOKUP("S2-01",$A$8:$P$63,8,FALSE))</x:f>
        <x:v>46286</x:v>
      </x:c>
      <x:c r="O19" s="4">
        <x:f>IF(COUNT(G19:H19)&lt;2,"Faltan fechas",MIN(H19-G19,VLOOKUP(B19,'Entregas y equipo'!$A$8:$D$13,4,FALSE)-H19,G19-N19))</x:f>
        <x:v>0</x:v>
      </x:c>
      <x:c r="P19" s="4" t="str">
        <x:v>F3 + F6 + F10 + F11</x:v>
      </x:c>
    </x:row>
    <x:row r="20" ht="90" customHeight="1">
      <x:c r="A20" s="4" t="s">
        <x:v>23</x:v>
      </x:c>
      <x:c r="B20" s="4" t="s">
        <x:v>127</x:v>
      </x:c>
      <x:c r="C20" s="4" t="s">
        <x:v>131</x:v>
      </x:c>
      <x:c r="D20" s="4" t="s">
        <x:v>134</x:v>
      </x:c>
      <x:c r="E20" s="4" t="s">
        <x:v>107</x:v>
      </x:c>
      <x:c r="F20" s="4" t="s">
        <x:v>108</x:v>
      </x:c>
      <x:c r="G20" s="8">
        <x:v>46289</x:v>
      </x:c>
      <x:c r="H20" s="8">
        <x:v>46289</x:v>
      </x:c>
      <x:c r="I20" s="7">
        <x:f t="shared" si="0"/>
        <x:v>1</x:v>
      </x:c>
      <x:c r="J20" s="4" t="s">
        <x:v>22</x:v>
      </x:c>
      <x:c r="K20" s="9" t="str">
        <x:v>Verificada</x:v>
      </x:c>
      <x:c r="L20" s="4" t="s">
        <x:v>135</x:v>
      </x:c>
      <x:c r="M20" s="9" t="str">
        <x:v>14 pruebas de sesión aprobadas. Integración con PostgreSQL verifica login, /me, subida y revocación al salir. La conexión de la UI corresponde a S2-12.</x:v>
      </x:c>
      <x:c r="N20" s="6">
        <x:f>MAX(VLOOKUP("S2-02",$A$8:$P$63,8,FALSE))</x:f>
        <x:v>46288</x:v>
      </x:c>
      <x:c r="O20" s="4">
        <x:f>IF(COUNT(G20:H20)&lt;2,"Faltan fechas",MIN(H20-G20,VLOOKUP(B20,'Entregas y equipo'!$A$8:$D$13,4,FALSE)-H20,G20-N20))</x:f>
        <x:v>0</x:v>
      </x:c>
      <x:c r="P20" s="4" t="str">
        <x:v>F3 + F6 + F10 + F11 + F12</x:v>
      </x:c>
    </x:row>
    <x:row r="21" ht="90" customHeight="1">
      <x:c r="A21" s="4" t="s">
        <x:v>24</x:v>
      </x:c>
      <x:c r="B21" s="4" t="s">
        <x:v>127</x:v>
      </x:c>
      <x:c r="C21" s="4" t="s">
        <x:v>136</x:v>
      </x:c>
      <x:c r="D21" s="4" t="s">
        <x:v>137</x:v>
      </x:c>
      <x:c r="E21" s="4" t="s">
        <x:v>115</x:v>
      </x:c>
      <x:c r="F21" s="4" t="s">
        <x:v>107</x:v>
      </x:c>
      <x:c r="G21" s="8">
        <x:v>46288</x:v>
      </x:c>
      <x:c r="H21" s="8">
        <x:v>46288</x:v>
      </x:c>
      <x:c r="I21" s="7">
        <x:f t="shared" si="0"/>
        <x:v>1</x:v>
      </x:c>
      <x:c r="J21" s="4" t="s">
        <x:v>21</x:v>
      </x:c>
      <x:c r="K21" s="9" t="str">
        <x:v>Verificada</x:v>
      </x:c>
      <x:c r="L21" s="4" t="s">
        <x:v>138</x:v>
      </x:c>
      <x:c r="M21" s="9" t="str">
        <x:v>Seed Free aplicado en PostgreSQL: 2 GB, 10 subidas y 200 MB diarios. Catálogo y precisión BIGINT probados; integración real confirma asignación de Free.</x:v>
      </x:c>
      <x:c r="N21" s="6">
        <x:f>MAX(VLOOKUP("S2-01",$A$8:$P$63,8,FALSE))</x:f>
        <x:v>46286</x:v>
      </x:c>
      <x:c r="O21" s="4">
        <x:f>IF(COUNT(G21:H21)&lt;2,"Faltan fechas",MIN(H21-G21,VLOOKUP(B21,'Entregas y equipo'!$A$8:$D$13,4,FALSE)-H21,G21-N21))</x:f>
        <x:v>0</x:v>
      </x:c>
      <x:c r="P21" s="4" t="str">
        <x:v>F3 + F4 + F10 + F11</x:v>
      </x:c>
    </x:row>
    <x:row r="22" ht="90" customHeight="1">
      <x:c r="A22" s="4" t="s">
        <x:v>25</x:v>
      </x:c>
      <x:c r="B22" s="4" t="s">
        <x:v>127</x:v>
      </x:c>
      <x:c r="C22" s="4" t="s">
        <x:v>136</x:v>
      </x:c>
      <x:c r="D22" s="4" t="s">
        <x:v>139</x:v>
      </x:c>
      <x:c r="E22" s="4" t="s">
        <x:v>115</x:v>
      </x:c>
      <x:c r="F22" s="4" t="s">
        <x:v>107</x:v>
      </x:c>
      <x:c r="G22" s="8">
        <x:v>46289</x:v>
      </x:c>
      <x:c r="H22" s="8">
        <x:v>46289</x:v>
      </x:c>
      <x:c r="I22" s="7">
        <x:f t="shared" si="0"/>
        <x:v>1</x:v>
      </x:c>
      <x:c r="J22" s="4" t="s">
        <x:v>140</x:v>
      </x:c>
      <x:c r="K22" s="9" t="str">
        <x:v>Hecha</x:v>
      </x:c>
      <x:c r="L22" s="4" t="s">
        <x:v>141</x:v>
      </x:c>
      <x:c r="M22" s="9" t="str">
        <x:v>Hecha conservado del equipo. Integración real confirma una suscripción Free activa al registrar. Alta y asignación usan una sentencia SQL atómica; suite completa aprobada.</x:v>
      </x:c>
      <x:c r="N22" s="6">
        <x:f>MAX(VLOOKUP("S2-02",$A$8:$P$63,8,FALSE),VLOOKUP("S2-04",$A$8:$P$63,8,FALSE))</x:f>
        <x:v>46288</x:v>
      </x:c>
      <x:c r="O22" s="4">
        <x:f>IF(COUNT(G22:H22)&lt;2,"Faltan fechas",MIN(H22-G22,VLOOKUP(B22,'Entregas y equipo'!$A$8:$D$13,4,FALSE)-H22,G22-N22))</x:f>
        <x:v>0</x:v>
      </x:c>
      <x:c r="P22" s="4" t="str">
        <x:v>F3 + F6 + F10 + F11</x:v>
      </x:c>
    </x:row>
    <x:row r="23" ht="90" customHeight="1">
      <x:c r="A23" s="4" t="s">
        <x:v>26</x:v>
      </x:c>
      <x:c r="B23" s="4" t="s">
        <x:v>127</x:v>
      </x:c>
      <x:c r="C23" s="4" t="s">
        <x:v>136</x:v>
      </x:c>
      <x:c r="D23" s="4" t="s">
        <x:v>142</x:v>
      </x:c>
      <x:c r="E23" s="4" t="s">
        <x:v>115</x:v>
      </x:c>
      <x:c r="F23" s="4" t="s">
        <x:v>112</x:v>
      </x:c>
      <x:c r="G23" s="8">
        <x:v>46289</x:v>
      </x:c>
      <x:c r="H23" s="8">
        <x:v>46289</x:v>
      </x:c>
      <x:c r="I23" s="7">
        <x:f t="shared" si="0"/>
        <x:v>1</x:v>
      </x:c>
      <x:c r="J23" s="4" t="s">
        <x:v>25</x:v>
      </x:c>
      <x:c r="K23" s="9" t="str">
        <x:v>Verificada</x:v>
      </x:c>
      <x:c r="L23" s="4" t="s">
        <x:v>143</x:v>
      </x:c>
      <x:c r="M23" s="9" t="str">
        <x:v>Pruebas reales aprobadas: capacidad y bytes diarios en frontera, concurrencia del límite de subidas y cambio de día. Las pruebas ajustan cuotas para ejercitar los límites.</x:v>
      </x:c>
      <x:c r="N23" s="6">
        <x:f>MAX(VLOOKUP("S2-05",$A$8:$P$63,8,FALSE))</x:f>
        <x:v>46289</x:v>
      </x:c>
      <x:c r="O23" s="4">
        <x:f>IF(COUNT(G23:H23)&lt;2,"Faltan fechas",MIN(H23-G23,VLOOKUP(B23,'Entregas y equipo'!$A$8:$D$13,4,FALSE)-H23,G23-N23))</x:f>
        <x:v>0</x:v>
      </x:c>
      <x:c r="P23" s="4" t="str">
        <x:v>F3 + F4 + F10 + F11</x:v>
      </x:c>
    </x:row>
    <x:row r="24" ht="90" customHeight="1">
      <x:c r="A24" s="4" t="s">
        <x:v>27</x:v>
      </x:c>
      <x:c r="B24" s="4" t="s">
        <x:v>127</x:v>
      </x:c>
      <x:c r="C24" s="4" t="s">
        <x:v>144</x:v>
      </x:c>
      <x:c r="D24" s="4" t="s">
        <x:v>145</x:v>
      </x:c>
      <x:c r="E24" s="4" t="s">
        <x:v>112</x:v>
      </x:c>
      <x:c r="F24" s="4" t="s">
        <x:v>107</x:v>
      </x:c>
      <x:c r="G24" s="8">
        <x:v>46288</x:v>
      </x:c>
      <x:c r="H24" s="8">
        <x:v>46288</x:v>
      </x:c>
      <x:c r="I24" s="7">
        <x:f t="shared" si="0"/>
        <x:v>1</x:v>
      </x:c>
      <x:c r="J24" s="4" t="s">
        <x:v>21</x:v>
      </x:c>
      <x:c r="K24" s="9" t="str">
        <x:v>Verificada</x:v>
      </x:c>
      <x:c r="L24" s="4" t="s">
        <x:v>146</x:v>
      </x:c>
      <x:c r="M24" s="9" t="str">
        <x:v>Pruebas reales aprobadas: JPG/PNG/WebP, SHA-256 original, archivo vacío/falso/truncado/animado y frontera exacta de 25 MB.</x:v>
      </x:c>
      <x:c r="N24" s="6">
        <x:f>MAX(VLOOKUP("S2-01",$A$8:$P$63,8,FALSE))</x:f>
        <x:v>46286</x:v>
      </x:c>
      <x:c r="O24" s="4">
        <x:f>IF(COUNT(G24:H24)&lt;2,"Faltan fechas",MIN(H24-G24,VLOOKUP(B24,'Entregas y equipo'!$A$8:$D$13,4,FALSE)-H24,G24-N24))</x:f>
        <x:v>0</x:v>
      </x:c>
      <x:c r="P24" s="4" t="str">
        <x:v>F3 + F4 + F6 + F10 + F11</x:v>
      </x:c>
    </x:row>
    <x:row r="25" ht="90" customHeight="1">
      <x:c r="A25" s="4" t="s">
        <x:v>28</x:v>
      </x:c>
      <x:c r="B25" s="4" t="s">
        <x:v>127</x:v>
      </x:c>
      <x:c r="C25" s="4" t="s">
        <x:v>144</x:v>
      </x:c>
      <x:c r="D25" s="4" t="s">
        <x:v>147</x:v>
      </x:c>
      <x:c r="E25" s="4" t="s">
        <x:v>112</x:v>
      </x:c>
      <x:c r="F25" s="4" t="s">
        <x:v>115</x:v>
      </x:c>
      <x:c r="G25" s="8">
        <x:v>46289</x:v>
      </x:c>
      <x:c r="H25" s="8">
        <x:v>46289</x:v>
      </x:c>
      <x:c r="I25" s="7">
        <x:f t="shared" si="0"/>
        <x:v>1</x:v>
      </x:c>
      <x:c r="J25" s="4" t="s">
        <x:v>27</x:v>
      </x:c>
      <x:c r="K25" s="9" t="str">
        <x:v>Verificada</x:v>
      </x:c>
      <x:c r="L25" s="4" t="s">
        <x:v>148</x:v>
      </x:c>
      <x:c r="M25" s="9" t="str">
        <x:v>WebP real, orientación y limpieza aprobados con PostgreSQL. Rollback elimina objetos nuevos y conserva compartidos. Recuperación de caída abrupta sigue en S3-05.</x:v>
      </x:c>
      <x:c r="N25" s="6">
        <x:f>MAX(VLOOKUP("S2-07",$A$8:$P$63,8,FALSE))</x:f>
        <x:v>46288</x:v>
      </x:c>
      <x:c r="O25" s="4">
        <x:f>IF(COUNT(G25:H25)&lt;2,"Faltan fechas",MIN(H25-G25,VLOOKUP(B25,'Entregas y equipo'!$A$8:$D$13,4,FALSE)-H25,G25-N25))</x:f>
        <x:v>0</x:v>
      </x:c>
      <x:c r="P25" s="4" t="str">
        <x:v>F3 + F4 + F10 + F11</x:v>
      </x:c>
    </x:row>
    <x:row r="26" ht="90" customHeight="1">
      <x:c r="A26" s="4" t="s">
        <x:v>29</x:v>
      </x:c>
      <x:c r="B26" s="4" t="s">
        <x:v>127</x:v>
      </x:c>
      <x:c r="C26" s="4" t="s">
        <x:v>144</x:v>
      </x:c>
      <x:c r="D26" s="4" t="s">
        <x:v>149</x:v>
      </x:c>
      <x:c r="E26" s="4" t="s">
        <x:v>112</x:v>
      </x:c>
      <x:c r="F26" s="4" t="s">
        <x:v>150</x:v>
      </x:c>
      <x:c r="G26" s="8">
        <x:v>46289</x:v>
      </x:c>
      <x:c r="H26" s="8">
        <x:v>46289</x:v>
      </x:c>
      <x:c r="I26" s="7">
        <x:f t="shared" si="0"/>
        <x:v>1</x:v>
      </x:c>
      <x:c r="J26" s="4" t="s">
        <x:v>151</x:v>
      </x:c>
      <x:c r="K26" s="9" t="str">
        <x:v>Verificada</x:v>
      </x:c>
      <x:c r="L26" s="4" t="s">
        <x:v>152</x:v>
      </x:c>
      <x:c r="M26" s="9" t="str">
        <x:v>Prueba real concurrente aprobada: dos cuentas, un objeto físico y dos referencias privadas. Se comprueba SHA-256 del original y aislamiento entre propietarios.</x:v>
      </x:c>
      <x:c r="N26" s="6">
        <x:f>MAX(VLOOKUP("S2-03",$A$8:$P$63,8,FALSE),VLOOKUP("S2-06",$A$8:$P$63,8,FALSE),VLOOKUP("S2-08",$A$8:$P$63,8,FALSE))</x:f>
        <x:v>46289</x:v>
      </x:c>
      <x:c r="O26" s="4">
        <x:f>IF(COUNT(G26:H26)&lt;2,"Faltan fechas",MIN(H26-G26,VLOOKUP(B26,'Entregas y equipo'!$A$8:$D$13,4,FALSE)-H26,G26-N26))</x:f>
        <x:v>0</x:v>
      </x:c>
      <x:c r="P26" s="4" t="str">
        <x:v>F3 + F4 + F10 + F11</x:v>
      </x:c>
    </x:row>
    <x:row r="27" ht="90" customHeight="1">
      <x:c r="A27" s="4" t="s">
        <x:v>30</x:v>
      </x:c>
      <x:c r="B27" s="4" t="s">
        <x:v>127</x:v>
      </x:c>
      <x:c r="C27" s="4" t="s">
        <x:v>144</x:v>
      </x:c>
      <x:c r="D27" s="4" t="s">
        <x:v>153</x:v>
      </x:c>
      <x:c r="E27" s="4" t="s">
        <x:v>112</x:v>
      </x:c>
      <x:c r="F27" s="4" t="s">
        <x:v>108</x:v>
      </x:c>
      <x:c r="G27" s="8">
        <x:v>46290</x:v>
      </x:c>
      <x:c r="H27" s="8">
        <x:v>46290</x:v>
      </x:c>
      <x:c r="I27" s="7">
        <x:f t="shared" si="0"/>
        <x:v>1</x:v>
      </x:c>
      <x:c r="J27" s="4" t="s">
        <x:v>29</x:v>
      </x:c>
      <x:c r="K27" s="9" t="str">
        <x:v>Verificada</x:v>
      </x:c>
      <x:c r="L27" s="4" t="s">
        <x:v>154</x:v>
      </x:c>
      <x:c r="M27" s="9" t="str">
        <x:v>Pruebas reales aprobadas: listado propio, rechazo de descarga ajena, descarga WebP, paginación y persistencia tras reiniciar la aplicación.</x:v>
      </x:c>
      <x:c r="N27" s="6">
        <x:f>MAX(VLOOKUP("S2-09",$A$8:$P$63,8,FALSE))</x:f>
        <x:v>46289</x:v>
      </x:c>
      <x:c r="O27" s="4">
        <x:f>IF(COUNT(G27:H27)&lt;2,"Faltan fechas",MIN(H27-G27,VLOOKUP(B27,'Entregas y equipo'!$A$8:$D$13,4,FALSE)-H27,G27-N27))</x:f>
        <x:v>0</x:v>
      </x:c>
      <x:c r="P27" s="4" t="str">
        <x:v>F3 + F6 + F10 + F11</x:v>
      </x:c>
    </x:row>
    <x:row r="28" ht="90" customHeight="1">
      <x:c r="A28" s="4" t="s">
        <x:v>31</x:v>
      </x:c>
      <x:c r="B28" s="4" t="s">
        <x:v>127</x:v>
      </x:c>
      <x:c r="C28" s="4" t="s">
        <x:v>155</x:v>
      </x:c>
      <x:c r="D28" s="4" t="s">
        <x:v>156</x:v>
      </x:c>
      <x:c r="E28" s="4" t="s">
        <x:v>108</x:v>
      </x:c>
      <x:c r="F28" s="4" t="s">
        <x:v>107</x:v>
      </x:c>
      <x:c r="G28" s="8">
        <x:v>46288</x:v>
      </x:c>
      <x:c r="H28" s="8">
        <x:v>46288</x:v>
      </x:c>
      <x:c r="I28" s="7">
        <x:f t="shared" si="0"/>
        <x:v>1</x:v>
      </x:c>
      <x:c r="J28" s="4" t="s">
        <x:v>21</x:v>
      </x:c>
      <x:c r="K28" s="9" t="str">
        <x:v>Implementada</x:v>
      </x:c>
      <x:c r="L28" s="4" t="s">
        <x:v>157</x:v>
      </x:c>
      <x:c r="M28" s="9" t="str">
        <x:v>Commit 9c29060: AuthPage habilita registro/login, validación local, errores de API y estados de carga. npm run check aprueba la compilación. Falta prueba de interfaz en navegador.</x:v>
      </x:c>
      <x:c r="N28" s="6">
        <x:f>MAX(VLOOKUP("S2-01",$A$8:$P$63,8,FALSE))</x:f>
        <x:v>46286</x:v>
      </x:c>
      <x:c r="O28" s="4">
        <x:f>IF(COUNT(G28:H28)&lt;2,"Faltan fechas",MIN(H28-G28,VLOOKUP(B28,'Entregas y equipo'!$A$8:$D$13,4,FALSE)-H28,G28-N28))</x:f>
        <x:v>0</x:v>
      </x:c>
      <x:c r="P28" s="4" t="str">
        <x:v>F3 + F7 + F10 + F12 + F14</x:v>
      </x:c>
    </x:row>
    <x:row r="29" ht="90" customHeight="1">
      <x:c r="A29" s="4" t="s">
        <x:v>32</x:v>
      </x:c>
      <x:c r="B29" s="4" t="s">
        <x:v>127</x:v>
      </x:c>
      <x:c r="C29" s="4" t="s">
        <x:v>155</x:v>
      </x:c>
      <x:c r="D29" s="4" t="s">
        <x:v>158</x:v>
      </x:c>
      <x:c r="E29" s="4" t="s">
        <x:v>108</x:v>
      </x:c>
      <x:c r="F29" s="4" t="s">
        <x:v>88</x:v>
      </x:c>
      <x:c r="G29" s="8">
        <x:v>46289</x:v>
      </x:c>
      <x:c r="H29" s="8">
        <x:v>46290</x:v>
      </x:c>
      <x:c r="I29" s="7">
        <x:f t="shared" si="0"/>
        <x:v>2</x:v>
      </x:c>
      <x:c r="J29" s="4" t="s">
        <x:v>159</x:v>
      </x:c>
      <x:c r="K29" s="9" t="str">
        <x:v>Implementada</x:v>
      </x:c>
      <x:c r="L29" s="4" t="s">
        <x:v>160</x:v>
      </x:c>
      <x:c r="M29" s="9" t="str">
        <x:v>Commits 9c29060 y a560a45: rutas, sesión JWT en memoria, carga, galería y descarga usan API real; registro inicia sesión. Frontend compila. Falta recorrer el flujo completo en navegador.</x:v>
      </x:c>
      <x:c r="N29" s="6">
        <x:f>MAX(VLOOKUP("S2-03",$A$8:$P$63,8,FALSE),VLOOKUP("S2-05",$A$8:$P$63,8,FALSE),VLOOKUP("S2-11",$A$8:$P$63,8,FALSE))</x:f>
        <x:v>46289</x:v>
      </x:c>
      <x:c r="O29" s="4">
        <x:f>IF(COUNT(G29:H29)&lt;2,"Faltan fechas",MIN(H29-G29,VLOOKUP(B29,'Entregas y equipo'!$A$8:$D$13,4,FALSE)-H29,G29-N29))</x:f>
        <x:v>0</x:v>
      </x:c>
      <x:c r="P29" s="4" t="str">
        <x:v>F3 + F10 + F12 + F14</x:v>
      </x:c>
    </x:row>
    <x:row r="30" ht="90" customHeight="1">
      <x:c r="A30" s="4" t="s">
        <x:v>33</x:v>
      </x:c>
      <x:c r="B30" s="4" t="s">
        <x:v>127</x:v>
      </x:c>
      <x:c r="C30" s="4" t="s">
        <x:v>161</x:v>
      </x:c>
      <x:c r="D30" s="4" t="s">
        <x:v>162</x:v>
      </x:c>
      <x:c r="E30" s="4" t="s">
        <x:v>112</x:v>
      </x:c>
      <x:c r="F30" s="4" t="s">
        <x:v>108</x:v>
      </x:c>
      <x:c r="G30" s="8">
        <x:v>46290</x:v>
      </x:c>
      <x:c r="H30" s="8">
        <x:v>46290</x:v>
      </x:c>
      <x:c r="I30" s="7">
        <x:f t="shared" si="0"/>
        <x:v>1</x:v>
      </x:c>
      <x:c r="J30" s="4" t="s">
        <x:v>29</x:v>
      </x:c>
      <x:c r="K30" s="9" t="str">
        <x:v>Verificada</x:v>
      </x:c>
      <x:c r="L30" s="4" t="s">
        <x:v>163</x:v>
      </x:c>
      <x:c r="M30" s="9" t="str">
        <x:v>Prueba real de API aprobada: acceso solo admin, ahorro B−P y porcentaje, biblioteca vacía, bytes físicos modificados y archivo ausente.</x:v>
      </x:c>
      <x:c r="N30" s="6">
        <x:f>MAX(VLOOKUP("S2-09",$A$8:$P$63,8,FALSE))</x:f>
        <x:v>46289</x:v>
      </x:c>
      <x:c r="O30" s="4">
        <x:f>IF(COUNT(G30:H30)&lt;2,"Faltan fechas",MIN(H30-G30,VLOOKUP(B30,'Entregas y equipo'!$A$8:$D$13,4,FALSE)-H30,G30-N30))</x:f>
        <x:v>0</x:v>
      </x:c>
      <x:c r="P30" s="4" t="str">
        <x:v>F3 + F4 + F10 + F11</x:v>
      </x:c>
    </x:row>
    <x:row r="31" ht="90" customHeight="1">
      <x:c r="A31" s="4" t="s">
        <x:v>34</x:v>
      </x:c>
      <x:c r="B31" s="4" t="s">
        <x:v>127</x:v>
      </x:c>
      <x:c r="C31" s="4" t="s">
        <x:v>164</x:v>
      </x:c>
      <x:c r="D31" s="4" t="s">
        <x:v>165</x:v>
      </x:c>
      <x:c r="E31" s="4" t="s">
        <x:v>87</x:v>
      </x:c>
      <x:c r="F31" s="4" t="s">
        <x:v>166</x:v>
      </x:c>
      <x:c r="G31" s="8">
        <x:v>46288</x:v>
      </x:c>
      <x:c r="H31" s="8">
        <x:v>46289</x:v>
      </x:c>
      <x:c r="I31" s="7">
        <x:f t="shared" si="0"/>
        <x:v>2</x:v>
      </x:c>
      <x:c r="J31" s="4" t="s">
        <x:v>21</x:v>
      </x:c>
      <x:c r="K31" s="9" t="str">
        <x:v>En revisión</x:v>
      </x:c>
      <x:c r="L31" s="4" t="s">
        <x:v>167</x:v>
      </x:c>
      <x:c r="M31" s="9" t="str">
        <x:v>El equipo reporta diagramas y documentación listos. En el repositorio, avance-30.md y verificacion.md aún describen Auth/UI como pendientes; no se localizaron archivos de diagramas versionados. Conciliar evidencias.</x:v>
      </x:c>
      <x:c r="N31" s="6">
        <x:f>MAX(VLOOKUP("S2-01",$A$8:$P$63,8,FALSE))</x:f>
        <x:v>46286</x:v>
      </x:c>
      <x:c r="O31" s="4">
        <x:f>IF(COUNT(G31:H31)&lt;2,"Faltan fechas",MIN(H31-G31,VLOOKUP(B31,'Entregas y equipo'!$A$8:$D$13,4,FALSE)-H31,G31-N31))</x:f>
        <x:v>1</x:v>
      </x:c>
      <x:c r="P31" s="4" t="str">
        <x:v>F4 + F10 + F12 + F15</x:v>
      </x:c>
    </x:row>
    <x:row r="32" ht="90" customHeight="1">
      <x:c r="A32" s="4" t="s">
        <x:v>35</x:v>
      </x:c>
      <x:c r="B32" s="4" t="s">
        <x:v>127</x:v>
      </x:c>
      <x:c r="C32" s="4" t="s">
        <x:v>168</x:v>
      </x:c>
      <x:c r="D32" s="4" t="s">
        <x:v>169</x:v>
      </x:c>
      <x:c r="E32" s="4" t="s">
        <x:v>87</x:v>
      </x:c>
      <x:c r="F32" s="4" t="s">
        <x:v>88</x:v>
      </x:c>
      <x:c r="G32" s="8">
        <x:v>46290</x:v>
      </x:c>
      <x:c r="H32" s="8">
        <x:v>46290</x:v>
      </x:c>
      <x:c r="I32" s="7">
        <x:f t="shared" si="0"/>
        <x:v>1</x:v>
      </x:c>
      <x:c r="J32" s="4" t="s">
        <x:v>170</x:v>
      </x:c>
      <x:c r="K32" s="9" t="str">
        <x:v>Parcial</x:v>
      </x:c>
      <x:c r="L32" s="4" t="s">
        <x:v>171</x:v>
      </x:c>
      <x:c r="M32" s="9" t="str">
        <x:v>test:storage aprueba 44/44 con PostgreSQL (registro, Free, dos cuentas, WebP, cuotas y ahorro). Frontend integrado y compilado; falta prueba documentada del recorrido completo en navegador.</x:v>
      </x:c>
      <x:c r="N32" s="6">
        <x:f>MAX(VLOOKUP("S2-10",$A$8:$P$63,8,FALSE),VLOOKUP("S2-12",$A$8:$P$63,8,FALSE),VLOOKUP("S2-13",$A$8:$P$63,8,FALSE),VLOOKUP("S2-14",$A$8:$P$63,8,FALSE))</x:f>
        <x:v>46290</x:v>
      </x:c>
      <x:c r="O32" s="4">
        <x:f>IF(COUNT(G32:H32)&lt;2,"Faltan fechas",MIN(H32-G32,VLOOKUP(B32,'Entregas y equipo'!$A$8:$D$13,4,FALSE)-H32,G32-N32))</x:f>
        <x:v>0</x:v>
      </x:c>
      <x:c r="P32" s="4" t="str">
        <x:v>F3 + F10 + F11 + F12 + F14</x:v>
      </x:c>
    </x:row>
    <x:row r="33" ht="90" customHeight="1">
      <x:c r="A33" s="4" t="s">
        <x:v>36</x:v>
      </x:c>
      <x:c r="B33" s="4" t="s">
        <x:v>127</x:v>
      </x:c>
      <x:c r="C33" s="4" t="s">
        <x:v>100</x:v>
      </x:c>
      <x:c r="D33" s="4" t="s">
        <x:v>172</x:v>
      </x:c>
      <x:c r="E33" s="4" t="s">
        <x:v>87</x:v>
      </x:c>
      <x:c r="F33" s="4" t="s">
        <x:v>88</x:v>
      </x:c>
      <x:c r="G33" s="8">
        <x:v>46290</x:v>
      </x:c>
      <x:c r="H33" s="8">
        <x:v>46290</x:v>
      </x:c>
      <x:c r="I33" s="7">
        <x:f t="shared" si="0"/>
        <x:v>1</x:v>
      </x:c>
      <x:c r="J33" s="4" t="s">
        <x:v>35</x:v>
      </x:c>
      <x:c r="K33" s="9" t="str">
        <x:v>Pendiente</x:v>
      </x:c>
      <x:c r="L33" s="4" t="s">
        <x:v>173</x:v>
      </x:c>
      <x:c r="M33" s="9" t="str">
        <x:v>Falta constancia de revisión por compañero, demo y entrega del 30%. La integración está en tema-y-flujo-git; main aún no refleja esos commits.</x:v>
      </x:c>
      <x:c r="N33" s="6">
        <x:f>MAX(VLOOKUP("S2-15",$A$8:$P$63,8,FALSE))</x:f>
        <x:v>46290</x:v>
      </x:c>
      <x:c r="O33" s="4">
        <x:f>IF(COUNT(G33:H33)&lt;2,"Faltan fechas",MIN(H33-G33,VLOOKUP(B33,'Entregas y equipo'!$A$8:$D$13,4,FALSE)-H33,G33-N33))</x:f>
        <x:v>0</x:v>
      </x:c>
      <x:c r="P33" s="4" t="str">
        <x:v>F1 + F3 + F8 + F10 + F12 + F14 + F15</x:v>
      </x:c>
    </x:row>
    <x:row r="34" ht="70.05000305175781" customHeight="1">
      <x:c r="A34" s="4" t="s">
        <x:v>37</x:v>
      </x:c>
      <x:c r="B34" s="4" t="s">
        <x:v>174</x:v>
      </x:c>
      <x:c r="C34" s="4" t="s">
        <x:v>131</x:v>
      </x:c>
      <x:c r="D34" s="4" t="s">
        <x:v>175</x:v>
      </x:c>
      <x:c r="E34" s="4" t="s">
        <x:v>107</x:v>
      </x:c>
      <x:c r="F34" s="4" t="s">
        <x:v>108</x:v>
      </x:c>
      <x:c r="G34" s="8">
        <x:v>46293</x:v>
      </x:c>
      <x:c r="H34" s="8">
        <x:v>46295</x:v>
      </x:c>
      <x:c r="I34" s="7">
        <x:f t="shared" si="0"/>
        <x:v>3</x:v>
      </x:c>
      <x:c r="J34" s="4" t="s">
        <x:v>36</x:v>
      </x:c>
      <x:c r="K34" s="9" t="s">
        <x:v>176</x:v>
      </x:c>
      <x:c r="L34" s="4" t="s">
        <x:v>177</x:v>
      </x:c>
      <x:c r="M34" s="9"/>
      <x:c r="N34" s="6">
        <x:f>MAX(VLOOKUP("S2-16",$A$8:$P$63,8,FALSE))</x:f>
        <x:v>46290</x:v>
      </x:c>
      <x:c r="O34" s="4">
        <x:f>IF(COUNT(G34:H34)&lt;2,"Faltan fechas",MIN(H34-G34,VLOOKUP(B34,'Entregas y equipo'!$A$8:$D$13,4,FALSE)-H34,G34-N34))</x:f>
        <x:v>2</x:v>
      </x:c>
      <x:c r="P34" s="4" t="s">
        <x:v>178</x:v>
      </x:c>
    </x:row>
    <x:row r="35" ht="70.05000305175781" customHeight="1">
      <x:c r="A35" s="4" t="s">
        <x:v>38</x:v>
      </x:c>
      <x:c r="B35" s="4" t="s">
        <x:v>174</x:v>
      </x:c>
      <x:c r="C35" s="4" t="s">
        <x:v>131</x:v>
      </x:c>
      <x:c r="D35" s="4" t="s">
        <x:v>179</x:v>
      </x:c>
      <x:c r="E35" s="4" t="s">
        <x:v>107</x:v>
      </x:c>
      <x:c r="F35" s="4" t="s">
        <x:v>108</x:v>
      </x:c>
      <x:c r="G35" s="8">
        <x:v>46296</x:v>
      </x:c>
      <x:c r="H35" s="8">
        <x:v>46300</x:v>
      </x:c>
      <x:c r="I35" s="7">
        <x:f t="shared" si="0"/>
        <x:v>5</x:v>
      </x:c>
      <x:c r="J35" s="4" t="s">
        <x:v>37</x:v>
      </x:c>
      <x:c r="K35" s="9" t="s">
        <x:v>176</x:v>
      </x:c>
      <x:c r="L35" s="4" t="s">
        <x:v>180</x:v>
      </x:c>
      <x:c r="M35" s="9"/>
      <x:c r="N35" s="6">
        <x:f>MAX(VLOOKUP("S3-01",$A$8:$P$63,8,FALSE))</x:f>
        <x:v>46295</x:v>
      </x:c>
      <x:c r="O35" s="4">
        <x:f>IF(COUNT(G35:H35)&lt;2,"Faltan fechas",MIN(H35-G35,VLOOKUP(B35,'Entregas y equipo'!$A$8:$D$13,4,FALSE)-H35,G35-N35))</x:f>
        <x:v>1</x:v>
      </x:c>
      <x:c r="P35" s="4" t="s">
        <x:v>181</x:v>
      </x:c>
    </x:row>
    <x:row r="36" ht="90" customHeight="1">
      <x:c r="A36" s="4" t="s">
        <x:v>39</x:v>
      </x:c>
      <x:c r="B36" s="4" t="s">
        <x:v>174</x:v>
      </x:c>
      <x:c r="C36" s="4" t="s">
        <x:v>131</x:v>
      </x:c>
      <x:c r="D36" s="4" t="s">
        <x:v>182</x:v>
      </x:c>
      <x:c r="E36" s="4" t="s">
        <x:v>107</x:v>
      </x:c>
      <x:c r="F36" s="4" t="s">
        <x:v>108</x:v>
      </x:c>
      <x:c r="G36" s="8">
        <x:v>46301</x:v>
      </x:c>
      <x:c r="H36" s="8">
        <x:v>46302</x:v>
      </x:c>
      <x:c r="I36" s="7">
        <x:f t="shared" si="0"/>
        <x:v>2</x:v>
      </x:c>
      <x:c r="J36" s="4" t="s">
        <x:v>38</x:v>
      </x:c>
      <x:c r="K36" s="9" t="str">
        <x:v>Implementada</x:v>
      </x:c>
      <x:c r="L36" s="4" t="s">
        <x:v>183</x:v>
      </x:c>
      <x:c r="M36" s="9" t="str">
        <x:v>Commit 9c29060: AccountMenu llama logout y SessionProvider limpia sesión del cliente. Pruebas backend verifican revocación. Falta prueba de interfaz en navegador.</x:v>
      </x:c>
      <x:c r="N36" s="6">
        <x:f>MAX(VLOOKUP("S3-02",$A$8:$P$63,8,FALSE))</x:f>
        <x:v>46300</x:v>
      </x:c>
      <x:c r="O36" s="4">
        <x:f>IF(COUNT(G36:H36)&lt;2,"Faltan fechas",MIN(H36-G36,VLOOKUP(B36,'Entregas y equipo'!$A$8:$D$13,4,FALSE)-H36,G36-N36))</x:f>
        <x:v>1</x:v>
      </x:c>
      <x:c r="P36" s="4" t="str">
        <x:v>F3 + F4 + F6 + F10 + F11 + F12 + F14</x:v>
      </x:c>
    </x:row>
    <x:row r="37" ht="70.05000305175781" customHeight="1">
      <x:c r="A37" s="4" t="s">
        <x:v>40</x:v>
      </x:c>
      <x:c r="B37" s="4" t="s">
        <x:v>174</x:v>
      </x:c>
      <x:c r="C37" s="4" t="s">
        <x:v>144</x:v>
      </x:c>
      <x:c r="D37" s="4" t="s">
        <x:v>184</x:v>
      </x:c>
      <x:c r="E37" s="4" t="s">
        <x:v>112</x:v>
      </x:c>
      <x:c r="F37" s="4" t="s">
        <x:v>115</x:v>
      </x:c>
      <x:c r="G37" s="8">
        <x:v>46293</x:v>
      </x:c>
      <x:c r="H37" s="8">
        <x:v>46296</x:v>
      </x:c>
      <x:c r="I37" s="7">
        <x:f t="shared" si="0"/>
        <x:v>4</x:v>
      </x:c>
      <x:c r="J37" s="4" t="s">
        <x:v>36</x:v>
      </x:c>
      <x:c r="K37" s="9" t="s">
        <x:v>176</x:v>
      </x:c>
      <x:c r="L37" s="4" t="s">
        <x:v>185</x:v>
      </x:c>
      <x:c r="M37" s="9"/>
      <x:c r="N37" s="6">
        <x:f>MAX(VLOOKUP("S2-16",$A$8:$P$63,8,FALSE))</x:f>
        <x:v>46290</x:v>
      </x:c>
      <x:c r="O37" s="4">
        <x:f>IF(COUNT(G37:H37)&lt;2,"Faltan fechas",MIN(H37-G37,VLOOKUP(B37,'Entregas y equipo'!$A$8:$D$13,4,FALSE)-H37,G37-N37))</x:f>
        <x:v>3</x:v>
      </x:c>
      <x:c r="P37" s="4" t="s">
        <x:v>186</x:v>
      </x:c>
    </x:row>
    <x:row r="38" ht="70.05000305175781" customHeight="1">
      <x:c r="A38" s="4" t="s">
        <x:v>41</x:v>
      </x:c>
      <x:c r="B38" s="4" t="s">
        <x:v>174</x:v>
      </x:c>
      <x:c r="C38" s="4" t="s">
        <x:v>144</x:v>
      </x:c>
      <x:c r="D38" s="4" t="s">
        <x:v>187</x:v>
      </x:c>
      <x:c r="E38" s="4" t="s">
        <x:v>112</x:v>
      </x:c>
      <x:c r="F38" s="4" t="s">
        <x:v>115</x:v>
      </x:c>
      <x:c r="G38" s="8">
        <x:v>46297</x:v>
      </x:c>
      <x:c r="H38" s="8">
        <x:v>46300</x:v>
      </x:c>
      <x:c r="I38" s="7">
        <x:f t="shared" si="0"/>
        <x:v>4</x:v>
      </x:c>
      <x:c r="J38" s="4" t="s">
        <x:v>40</x:v>
      </x:c>
      <x:c r="K38" s="9" t="s">
        <x:v>176</x:v>
      </x:c>
      <x:c r="L38" s="4" t="s">
        <x:v>188</x:v>
      </x:c>
      <x:c r="M38" s="9"/>
      <x:c r="N38" s="6">
        <x:f>MAX(VLOOKUP("S3-04",$A$8:$P$63,8,FALSE))</x:f>
        <x:v>46296</x:v>
      </x:c>
      <x:c r="O38" s="4">
        <x:f>IF(COUNT(G38:H38)&lt;2,"Faltan fechas",MIN(H38-G38,VLOOKUP(B38,'Entregas y equipo'!$A$8:$D$13,4,FALSE)-H38,G38-N38))</x:f>
        <x:v>1</x:v>
      </x:c>
      <x:c r="P38" s="4" t="s">
        <x:v>189</x:v>
      </x:c>
    </x:row>
    <x:row r="39" ht="70.05000305175781" customHeight="1">
      <x:c r="A39" s="4" t="s">
        <x:v>42</x:v>
      </x:c>
      <x:c r="B39" s="4" t="s">
        <x:v>174</x:v>
      </x:c>
      <x:c r="C39" s="4" t="s">
        <x:v>144</x:v>
      </x:c>
      <x:c r="D39" s="4" t="s">
        <x:v>190</x:v>
      </x:c>
      <x:c r="E39" s="4" t="s">
        <x:v>112</x:v>
      </x:c>
      <x:c r="F39" s="4" t="s">
        <x:v>107</x:v>
      </x:c>
      <x:c r="G39" s="8">
        <x:v>46301</x:v>
      </x:c>
      <x:c r="H39" s="8">
        <x:v>46301</x:v>
      </x:c>
      <x:c r="I39" s="7">
        <x:f t="shared" si="0"/>
        <x:v>1</x:v>
      </x:c>
      <x:c r="J39" s="4" t="s">
        <x:v>41</x:v>
      </x:c>
      <x:c r="K39" s="9" t="s">
        <x:v>176</x:v>
      </x:c>
      <x:c r="L39" s="4" t="s">
        <x:v>191</x:v>
      </x:c>
      <x:c r="M39" s="9"/>
      <x:c r="N39" s="6">
        <x:f>MAX(VLOOKUP("S3-05",$A$8:$P$63,8,FALSE))</x:f>
        <x:v>46300</x:v>
      </x:c>
      <x:c r="O39" s="4">
        <x:f>IF(COUNT(G39:H39)&lt;2,"Faltan fechas",MIN(H39-G39,VLOOKUP(B39,'Entregas y equipo'!$A$8:$D$13,4,FALSE)-H39,G39-N39))</x:f>
        <x:v>0</x:v>
      </x:c>
      <x:c r="P39" s="4" t="s">
        <x:v>189</x:v>
      </x:c>
    </x:row>
    <x:row r="40" ht="70.05000305175781" customHeight="1">
      <x:c r="A40" s="4" t="s">
        <x:v>43</x:v>
      </x:c>
      <x:c r="B40" s="4" t="s">
        <x:v>174</x:v>
      </x:c>
      <x:c r="C40" s="4" t="s">
        <x:v>144</x:v>
      </x:c>
      <x:c r="D40" s="4" t="s">
        <x:v>192</x:v>
      </x:c>
      <x:c r="E40" s="4" t="s">
        <x:v>112</x:v>
      </x:c>
      <x:c r="F40" s="4" t="s">
        <x:v>108</x:v>
      </x:c>
      <x:c r="G40" s="8">
        <x:v>46302</x:v>
      </x:c>
      <x:c r="H40" s="8">
        <x:v>46302</x:v>
      </x:c>
      <x:c r="I40" s="7" t="n">
        <x:f t="shared" ref="I40:I63" si="1">IF(OR(G40="",H40=""),"",H40-G40+1)</x:f>
        <x:v>1</x:v>
      </x:c>
      <x:c r="J40" s="4" t="s">
        <x:v>42</x:v>
      </x:c>
      <x:c r="K40" s="9" t="s">
        <x:v>176</x:v>
      </x:c>
      <x:c r="L40" s="4" t="s">
        <x:v>193</x:v>
      </x:c>
      <x:c r="M40" s="9"/>
      <x:c r="N40" s="6">
        <x:f>MAX(VLOOKUP("S3-06",$A$8:$P$63,8,FALSE))</x:f>
        <x:v>46301</x:v>
      </x:c>
      <x:c r="O40" s="4">
        <x:f>IF(COUNT(G40:H40)&lt;2,"Faltan fechas",MIN(H40-G40,VLOOKUP(B40,'Entregas y equipo'!$A$8:$D$13,4,FALSE)-H40,G40-N40))</x:f>
        <x:v>0</x:v>
      </x:c>
      <x:c r="P40" s="4" t="s">
        <x:v>178</x:v>
      </x:c>
    </x:row>
    <x:row r="41" ht="70.05000305175781" customHeight="1">
      <x:c r="A41" s="4" t="s">
        <x:v>44</x:v>
      </x:c>
      <x:c r="B41" s="4" t="s">
        <x:v>174</x:v>
      </x:c>
      <x:c r="C41" s="4" t="s">
        <x:v>136</x:v>
      </x:c>
      <x:c r="D41" s="4" t="s">
        <x:v>194</x:v>
      </x:c>
      <x:c r="E41" s="4" t="s">
        <x:v>115</x:v>
      </x:c>
      <x:c r="F41" s="4" t="s">
        <x:v>112</x:v>
      </x:c>
      <x:c r="G41" s="8">
        <x:v>46293</x:v>
      </x:c>
      <x:c r="H41" s="8">
        <x:v>46300</x:v>
      </x:c>
      <x:c r="I41" s="7">
        <x:f t="shared" si="1"/>
        <x:v>8</x:v>
      </x:c>
      <x:c r="J41" s="4" t="s">
        <x:v>36</x:v>
      </x:c>
      <x:c r="K41" s="9" t="s">
        <x:v>176</x:v>
      </x:c>
      <x:c r="L41" s="4" t="s">
        <x:v>195</x:v>
      </x:c>
      <x:c r="M41" s="9"/>
      <x:c r="N41" s="6">
        <x:f>MAX(VLOOKUP("S2-16",$A$8:$P$63,8,FALSE))</x:f>
        <x:v>46290</x:v>
      </x:c>
      <x:c r="O41" s="4">
        <x:f>IF(COUNT(G41:H41)&lt;2,"Faltan fechas",MIN(H41-G41,VLOOKUP(B41,'Entregas y equipo'!$A$8:$D$13,4,FALSE)-H41,G41-N41))</x:f>
        <x:v>3</x:v>
      </x:c>
      <x:c r="P41" s="4" t="s">
        <x:v>196</x:v>
      </x:c>
    </x:row>
    <x:row r="42" ht="70.05000305175781" customHeight="1">
      <x:c r="A42" s="4" t="s">
        <x:v>45</x:v>
      </x:c>
      <x:c r="B42" s="4" t="s">
        <x:v>174</x:v>
      </x:c>
      <x:c r="C42" s="4" t="s">
        <x:v>155</x:v>
      </x:c>
      <x:c r="D42" s="4" t="s">
        <x:v>197</x:v>
      </x:c>
      <x:c r="E42" s="4" t="s">
        <x:v>108</x:v>
      </x:c>
      <x:c r="F42" s="4" t="s">
        <x:v>198</x:v>
      </x:c>
      <x:c r="G42" s="8">
        <x:v>46295</x:v>
      </x:c>
      <x:c r="H42" s="8">
        <x:v>46302</x:v>
      </x:c>
      <x:c r="I42" s="7">
        <x:f t="shared" si="1"/>
        <x:v>8</x:v>
      </x:c>
      <x:c r="J42" s="4" t="s">
        <x:v>37</x:v>
      </x:c>
      <x:c r="K42" s="9" t="s">
        <x:v>176</x:v>
      </x:c>
      <x:c r="L42" s="4" t="s">
        <x:v>199</x:v>
      </x:c>
      <x:c r="M42" s="9"/>
      <x:c r="N42" s="6">
        <x:f>MAX(VLOOKUP("S3-01",$A$8:$P$63,8,FALSE))</x:f>
        <x:v>46295</x:v>
      </x:c>
      <x:c r="O42" s="4">
        <x:f>IF(COUNT(G42:H42)&lt;2,"Faltan fechas",MIN(H42-G42,VLOOKUP(B42,'Entregas y equipo'!$A$8:$D$13,4,FALSE)-H42,G42-N42))</x:f>
        <x:v>0</x:v>
      </x:c>
      <x:c r="P42" s="4" t="s">
        <x:v>200</x:v>
      </x:c>
    </x:row>
    <x:row r="43" ht="70.05000305175781" customHeight="1">
      <x:c r="A43" s="4" t="s">
        <x:v>46</x:v>
      </x:c>
      <x:c r="B43" s="4" t="s">
        <x:v>174</x:v>
      </x:c>
      <x:c r="C43" s="4" t="s">
        <x:v>155</x:v>
      </x:c>
      <x:c r="D43" s="4" t="s">
        <x:v>201</x:v>
      </x:c>
      <x:c r="E43" s="4" t="s">
        <x:v>108</x:v>
      </x:c>
      <x:c r="F43" s="4" t="s">
        <x:v>112</x:v>
      </x:c>
      <x:c r="G43" s="8">
        <x:v>46302</x:v>
      </x:c>
      <x:c r="H43" s="8">
        <x:v>46303</x:v>
      </x:c>
      <x:c r="I43" s="7">
        <x:f t="shared" si="1"/>
        <x:v>2</x:v>
      </x:c>
      <x:c r="J43" s="4" t="s">
        <x:v>202</x:v>
      </x:c>
      <x:c r="K43" s="9" t="s">
        <x:v>176</x:v>
      </x:c>
      <x:c r="L43" s="4" t="s">
        <x:v>203</x:v>
      </x:c>
      <x:c r="M43" s="9"/>
      <x:c r="N43" s="6">
        <x:f>MAX(VLOOKUP("S3-07",$A$8:$P$63,8,FALSE),VLOOKUP("S3-09",$A$8:$P$63,8,FALSE))</x:f>
        <x:v>46302</x:v>
      </x:c>
      <x:c r="O43" s="4">
        <x:f>IF(COUNT(G43:H43)&lt;2,"Faltan fechas",MIN(H43-G43,VLOOKUP(B43,'Entregas y equipo'!$A$8:$D$13,4,FALSE)-H43,G43-N43))</x:f>
        <x:v>0</x:v>
      </x:c>
      <x:c r="P43" s="4" t="s">
        <x:v>204</x:v>
      </x:c>
    </x:row>
    <x:row r="44" ht="70.05000305175781" customHeight="1">
      <x:c r="A44" s="4" t="s">
        <x:v>47</x:v>
      </x:c>
      <x:c r="B44" s="4" t="s">
        <x:v>174</x:v>
      </x:c>
      <x:c r="C44" s="4" t="s">
        <x:v>168</x:v>
      </x:c>
      <x:c r="D44" s="4" t="s">
        <x:v>205</x:v>
      </x:c>
      <x:c r="E44" s="4" t="s">
        <x:v>87</x:v>
      </x:c>
      <x:c r="F44" s="4" t="s">
        <x:v>88</x:v>
      </x:c>
      <x:c r="G44" s="8">
        <x:v>46303</x:v>
      </x:c>
      <x:c r="H44" s="8">
        <x:v>46303</x:v>
      </x:c>
      <x:c r="I44" s="7">
        <x:f t="shared" si="1"/>
        <x:v>1</x:v>
      </x:c>
      <x:c r="J44" s="4" t="s">
        <x:v>206</x:v>
      </x:c>
      <x:c r="K44" s="9" t="s">
        <x:v>176</x:v>
      </x:c>
      <x:c r="L44" s="4" t="s">
        <x:v>207</x:v>
      </x:c>
      <x:c r="M44" s="9"/>
      <x:c r="N44" s="6">
        <x:f>MAX(VLOOKUP("S3-03",$A$8:$P$63,8,FALSE),VLOOKUP("S3-08",$A$8:$P$63,8,FALSE),VLOOKUP("S3-10",$A$8:$P$63,8,FALSE))</x:f>
        <x:v>46303</x:v>
      </x:c>
      <x:c r="O44" s="4">
        <x:f>IF(COUNT(G44:H44)&lt;2,"Faltan fechas",MIN(H44-G44,VLOOKUP(B44,'Entregas y equipo'!$A$8:$D$13,4,FALSE)-H44,G44-N44))</x:f>
        <x:v>0</x:v>
      </x:c>
      <x:c r="P44" s="4" t="s">
        <x:v>208</x:v>
      </x:c>
    </x:row>
    <x:row r="45" ht="70.05000305175781" customHeight="1">
      <x:c r="A45" s="4" t="s">
        <x:v>48</x:v>
      </x:c>
      <x:c r="B45" s="4" t="s">
        <x:v>174</x:v>
      </x:c>
      <x:c r="C45" s="4" t="s">
        <x:v>100</x:v>
      </x:c>
      <x:c r="D45" s="4" t="s">
        <x:v>209</x:v>
      </x:c>
      <x:c r="E45" s="4" t="s">
        <x:v>87</x:v>
      </x:c>
      <x:c r="F45" s="4" t="s">
        <x:v>88</x:v>
      </x:c>
      <x:c r="G45" s="8">
        <x:v>46304</x:v>
      </x:c>
      <x:c r="H45" s="8">
        <x:v>46304</x:v>
      </x:c>
      <x:c r="I45" s="7">
        <x:f t="shared" si="1"/>
        <x:v>1</x:v>
      </x:c>
      <x:c r="J45" s="4" t="s">
        <x:v>47</x:v>
      </x:c>
      <x:c r="K45" s="9" t="s">
        <x:v>176</x:v>
      </x:c>
      <x:c r="L45" s="4" t="s">
        <x:v>210</x:v>
      </x:c>
      <x:c r="M45" s="9"/>
      <x:c r="N45" s="6">
        <x:f>MAX(VLOOKUP("S3-11",$A$8:$P$63,8,FALSE))</x:f>
        <x:v>46303</x:v>
      </x:c>
      <x:c r="O45" s="4">
        <x:f>IF(COUNT(G45:H45)&lt;2,"Faltan fechas",MIN(H45-G45,VLOOKUP(B45,'Entregas y equipo'!$A$8:$D$13,4,FALSE)-H45,G45-N45))</x:f>
        <x:v>0</x:v>
      </x:c>
      <x:c r="P45" s="4" t="s">
        <x:v>110</x:v>
      </x:c>
    </x:row>
    <x:row r="46" ht="70.05000305175781" customHeight="1">
      <x:c r="A46" s="4" t="s">
        <x:v>49</x:v>
      </x:c>
      <x:c r="B46" s="4" t="s">
        <x:v>211</x:v>
      </x:c>
      <x:c r="C46" s="4" t="s">
        <x:v>136</x:v>
      </x:c>
      <x:c r="D46" s="4" t="s">
        <x:v>212</x:v>
      </x:c>
      <x:c r="E46" s="4" t="s">
        <x:v>115</x:v>
      </x:c>
      <x:c r="F46" s="4" t="s">
        <x:v>87</x:v>
      </x:c>
      <x:c r="G46" s="8">
        <x:v>46307</x:v>
      </x:c>
      <x:c r="H46" s="8">
        <x:v>46307</x:v>
      </x:c>
      <x:c r="I46" s="7">
        <x:f t="shared" si="1"/>
        <x:v>1</x:v>
      </x:c>
      <x:c r="J46" s="4" t="s">
        <x:v>48</x:v>
      </x:c>
      <x:c r="K46" s="9" t="s">
        <x:v>176</x:v>
      </x:c>
      <x:c r="L46" s="4" t="s">
        <x:v>213</x:v>
      </x:c>
      <x:c r="M46" s="9"/>
      <x:c r="N46" s="6">
        <x:f>MAX(VLOOKUP("S3-12",$A$8:$P$63,8,FALSE))</x:f>
        <x:v>46304</x:v>
      </x:c>
      <x:c r="O46" s="4">
        <x:f>IF(COUNT(G46:H46)&lt;2,"Faltan fechas",MIN(H46-G46,VLOOKUP(B46,'Entregas y equipo'!$A$8:$D$13,4,FALSE)-H46,G46-N46))</x:f>
        <x:v>0</x:v>
      </x:c>
      <x:c r="P46" s="4" t="s">
        <x:v>214</x:v>
      </x:c>
    </x:row>
    <x:row r="47" ht="70.05000305175781" customHeight="1">
      <x:c r="A47" s="4" t="s">
        <x:v>50</x:v>
      </x:c>
      <x:c r="B47" s="4" t="s">
        <x:v>211</x:v>
      </x:c>
      <x:c r="C47" s="4" t="s">
        <x:v>136</x:v>
      </x:c>
      <x:c r="D47" s="4" t="s">
        <x:v>215</x:v>
      </x:c>
      <x:c r="E47" s="4" t="s">
        <x:v>115</x:v>
      </x:c>
      <x:c r="F47" s="4" t="s">
        <x:v>108</x:v>
      </x:c>
      <x:c r="G47" s="8">
        <x:v>46308</x:v>
      </x:c>
      <x:c r="H47" s="8">
        <x:v>46310</x:v>
      </x:c>
      <x:c r="I47" s="7">
        <x:f t="shared" si="1"/>
        <x:v>3</x:v>
      </x:c>
      <x:c r="J47" s="4" t="s">
        <x:v>49</x:v>
      </x:c>
      <x:c r="K47" s="9" t="s">
        <x:v>176</x:v>
      </x:c>
      <x:c r="L47" s="4" t="s">
        <x:v>216</x:v>
      </x:c>
      <x:c r="M47" s="9"/>
      <x:c r="N47" s="6">
        <x:f>MAX(VLOOKUP("S4-01",$A$8:$P$63,8,FALSE))</x:f>
        <x:v>46307</x:v>
      </x:c>
      <x:c r="O47" s="4">
        <x:f>IF(COUNT(G47:H47)&lt;2,"Faltan fechas",MIN(H47-G47,VLOOKUP(B47,'Entregas y equipo'!$A$8:$D$13,4,FALSE)-H47,G47-N47))</x:f>
        <x:v>1</x:v>
      </x:c>
      <x:c r="P47" s="4" t="s">
        <x:v>178</x:v>
      </x:c>
    </x:row>
    <x:row r="48" ht="70.05000305175781" customHeight="1">
      <x:c r="A48" s="4" t="s">
        <x:v>51</x:v>
      </x:c>
      <x:c r="B48" s="4" t="s">
        <x:v>211</x:v>
      </x:c>
      <x:c r="C48" s="4" t="s">
        <x:v>136</x:v>
      </x:c>
      <x:c r="D48" s="4" t="s">
        <x:v>217</x:v>
      </x:c>
      <x:c r="E48" s="4" t="s">
        <x:v>115</x:v>
      </x:c>
      <x:c r="F48" s="4" t="s">
        <x:v>112</x:v>
      </x:c>
      <x:c r="G48" s="8">
        <x:v>46311</x:v>
      </x:c>
      <x:c r="H48" s="8">
        <x:v>46315</x:v>
      </x:c>
      <x:c r="I48" s="7">
        <x:f t="shared" si="1"/>
        <x:v>5</x:v>
      </x:c>
      <x:c r="J48" s="4" t="s">
        <x:v>50</x:v>
      </x:c>
      <x:c r="K48" s="9" t="s">
        <x:v>176</x:v>
      </x:c>
      <x:c r="L48" s="4" t="s">
        <x:v>218</x:v>
      </x:c>
      <x:c r="M48" s="9"/>
      <x:c r="N48" s="6">
        <x:f>MAX(VLOOKUP("S4-02",$A$8:$P$63,8,FALSE))</x:f>
        <x:v>46310</x:v>
      </x:c>
      <x:c r="O48" s="4">
        <x:f>IF(COUNT(G48:H48)&lt;2,"Faltan fechas",MIN(H48-G48,VLOOKUP(B48,'Entregas y equipo'!$A$8:$D$13,4,FALSE)-H48,G48-N48))</x:f>
        <x:v>1</x:v>
      </x:c>
      <x:c r="P48" s="4" t="s">
        <x:v>178</x:v>
      </x:c>
    </x:row>
    <x:row r="49" ht="90" customHeight="1">
      <x:c r="A49" s="4" t="s">
        <x:v>52</x:v>
      </x:c>
      <x:c r="B49" s="4" t="s">
        <x:v>211</x:v>
      </x:c>
      <x:c r="C49" s="4" t="s">
        <x:v>161</x:v>
      </x:c>
      <x:c r="D49" s="4" t="s">
        <x:v>219</x:v>
      </x:c>
      <x:c r="E49" s="4" t="s">
        <x:v>112</x:v>
      </x:c>
      <x:c r="F49" s="4" t="s">
        <x:v>107</x:v>
      </x:c>
      <x:c r="G49" s="8">
        <x:v>46307</x:v>
      </x:c>
      <x:c r="H49" s="8">
        <x:v>46310</x:v>
      </x:c>
      <x:c r="I49" s="7">
        <x:f t="shared" si="1"/>
        <x:v>4</x:v>
      </x:c>
      <x:c r="J49" s="4" t="s">
        <x:v>48</x:v>
      </x:c>
      <x:c r="K49" s="9" t="str">
        <x:v>Parcial</x:v>
      </x:c>
      <x:c r="L49" s="4" t="s">
        <x:v>220</x:v>
      </x:c>
      <x:c r="M49" s="9" t="str">
        <x:v>Consumo y ahorro de Storage verificados con PostgreSQL. Resta completar el alcance administrativo del 80% y comprobar suscripciones finales.</x:v>
      </x:c>
      <x:c r="N49" s="6">
        <x:f>MAX(VLOOKUP("S3-12",$A$8:$P$63,8,FALSE))</x:f>
        <x:v>46304</x:v>
      </x:c>
      <x:c r="O49" s="4">
        <x:f>IF(COUNT(G49:H49)&lt;2,"Faltan fechas",MIN(H49-G49,VLOOKUP(B49,'Entregas y equipo'!$A$8:$D$13,4,FALSE)-H49,G49-N49))</x:f>
        <x:v>3</x:v>
      </x:c>
      <x:c r="P49" s="4" t="str">
        <x:v>F3 + F4 + F10 + F11</x:v>
      </x:c>
    </x:row>
    <x:row r="50" ht="90" customHeight="1">
      <x:c r="A50" s="4" t="s">
        <x:v>53</x:v>
      </x:c>
      <x:c r="B50" s="4" t="s">
        <x:v>211</x:v>
      </x:c>
      <x:c r="C50" s="4" t="s">
        <x:v>221</x:v>
      </x:c>
      <x:c r="D50" s="4" t="s">
        <x:v>222</x:v>
      </x:c>
      <x:c r="E50" s="4" t="s">
        <x:v>107</x:v>
      </x:c>
      <x:c r="F50" s="4" t="s">
        <x:v>112</x:v>
      </x:c>
      <x:c r="G50" s="8">
        <x:v>46307</x:v>
      </x:c>
      <x:c r="H50" s="8">
        <x:v>46311</x:v>
      </x:c>
      <x:c r="I50" s="7">
        <x:f t="shared" si="1"/>
        <x:v>5</x:v>
      </x:c>
      <x:c r="J50" s="4" t="s">
        <x:v>48</x:v>
      </x:c>
      <x:c r="K50" s="9" t="str">
        <x:v>Parcial</x:v>
      </x:c>
      <x:c r="L50" s="4" t="s">
        <x:v>223</x:v>
      </x:c>
      <x:c r="M50" s="9" t="str">
        <x:v>Roles, JWT revocado y aislamiento entre cuentas probados; la suite con PostgreSQL aprueba 44/44. Falta regresión del panel y alcance final.</x:v>
      </x:c>
      <x:c r="N50" s="6">
        <x:f>MAX(VLOOKUP("S3-12",$A$8:$P$63,8,FALSE))</x:f>
        <x:v>46304</x:v>
      </x:c>
      <x:c r="O50" s="4">
        <x:f>IF(COUNT(G50:H50)&lt;2,"Faltan fechas",MIN(H50-G50,VLOOKUP(B50,'Entregas y equipo'!$A$8:$D$13,4,FALSE)-H50,G50-N50))</x:f>
        <x:v>3</x:v>
      </x:c>
      <x:c r="P50" s="4" t="str">
        <x:v>F1 + F4 + F10 + F11</x:v>
      </x:c>
    </x:row>
    <x:row r="51" ht="70.05000305175781" customHeight="1">
      <x:c r="A51" s="4" t="s">
        <x:v>54</x:v>
      </x:c>
      <x:c r="B51" s="4" t="s">
        <x:v>211</x:v>
      </x:c>
      <x:c r="C51" s="4" t="s">
        <x:v>155</x:v>
      </x:c>
      <x:c r="D51" s="4" t="s">
        <x:v>224</x:v>
      </x:c>
      <x:c r="E51" s="4" t="s">
        <x:v>108</x:v>
      </x:c>
      <x:c r="F51" s="4" t="s">
        <x:v>115</x:v>
      </x:c>
      <x:c r="G51" s="8">
        <x:v>46310</x:v>
      </x:c>
      <x:c r="H51" s="8">
        <x:v>46315</x:v>
      </x:c>
      <x:c r="I51" s="7">
        <x:f t="shared" si="1"/>
        <x:v>6</x:v>
      </x:c>
      <x:c r="J51" s="4" t="s">
        <x:v>50</x:v>
      </x:c>
      <x:c r="K51" s="9" t="s">
        <x:v>176</x:v>
      </x:c>
      <x:c r="L51" s="4" t="s">
        <x:v>225</x:v>
      </x:c>
      <x:c r="M51" s="9"/>
      <x:c r="N51" s="6">
        <x:f>MAX(VLOOKUP("S4-02",$A$8:$P$63,8,FALSE))</x:f>
        <x:v>46310</x:v>
      </x:c>
      <x:c r="O51" s="4">
        <x:f>IF(COUNT(G51:H51)&lt;2,"Faltan fechas",MIN(H51-G51,VLOOKUP(B51,'Entregas y equipo'!$A$8:$D$13,4,FALSE)-H51,G51-N51))</x:f>
        <x:v>0</x:v>
      </x:c>
      <x:c r="P51" s="4" t="s">
        <x:v>178</x:v>
      </x:c>
    </x:row>
    <x:row r="52" ht="70.05000305175781" customHeight="1">
      <x:c r="A52" s="4" t="s">
        <x:v>55</x:v>
      </x:c>
      <x:c r="B52" s="4" t="s">
        <x:v>211</x:v>
      </x:c>
      <x:c r="C52" s="4" t="s">
        <x:v>155</x:v>
      </x:c>
      <x:c r="D52" s="4" t="s">
        <x:v>226</x:v>
      </x:c>
      <x:c r="E52" s="4" t="s">
        <x:v>108</x:v>
      </x:c>
      <x:c r="F52" s="4" t="s">
        <x:v>112</x:v>
      </x:c>
      <x:c r="G52" s="8">
        <x:v>46316</x:v>
      </x:c>
      <x:c r="H52" s="8">
        <x:v>46316</x:v>
      </x:c>
      <x:c r="I52" s="7">
        <x:f t="shared" si="1"/>
        <x:v>1</x:v>
      </x:c>
      <x:c r="J52" s="4" t="s">
        <x:v>227</x:v>
      </x:c>
      <x:c r="K52" s="9" t="s">
        <x:v>176</x:v>
      </x:c>
      <x:c r="L52" s="4" t="s">
        <x:v>228</x:v>
      </x:c>
      <x:c r="M52" s="9"/>
      <x:c r="N52" s="6">
        <x:f>MAX(VLOOKUP("S4-04",$A$8:$P$63,8,FALSE),VLOOKUP("S4-05",$A$8:$P$63,8,FALSE),VLOOKUP("S4-06",$A$8:$P$63,8,FALSE))</x:f>
        <x:v>46315</x:v>
      </x:c>
      <x:c r="O52" s="4">
        <x:f>IF(COUNT(G52:H52)&lt;2,"Faltan fechas",MIN(H52-G52,VLOOKUP(B52,'Entregas y equipo'!$A$8:$D$13,4,FALSE)-H52,G52-N52))</x:f>
        <x:v>0</x:v>
      </x:c>
      <x:c r="P52" s="4" t="s">
        <x:v>189</x:v>
      </x:c>
    </x:row>
    <x:row r="53" ht="70.05000305175781" customHeight="1">
      <x:c r="A53" s="4" t="s">
        <x:v>56</x:v>
      </x:c>
      <x:c r="B53" s="4" t="s">
        <x:v>211</x:v>
      </x:c>
      <x:c r="C53" s="4" t="s">
        <x:v>144</x:v>
      </x:c>
      <x:c r="D53" s="4" t="s">
        <x:v>229</x:v>
      </x:c>
      <x:c r="E53" s="4" t="s">
        <x:v>112</x:v>
      </x:c>
      <x:c r="F53" s="4" t="s">
        <x:v>115</x:v>
      </x:c>
      <x:c r="G53" s="8">
        <x:v>46315</x:v>
      </x:c>
      <x:c r="H53" s="8">
        <x:v>46316</x:v>
      </x:c>
      <x:c r="I53" s="7">
        <x:f t="shared" si="1"/>
        <x:v>2</x:v>
      </x:c>
      <x:c r="J53" s="4" t="s">
        <x:v>51</x:v>
      </x:c>
      <x:c r="K53" s="9" t="s">
        <x:v>176</x:v>
      </x:c>
      <x:c r="L53" s="4" t="s">
        <x:v>230</x:v>
      </x:c>
      <x:c r="M53" s="9"/>
      <x:c r="N53" s="6">
        <x:f>MAX(VLOOKUP("S4-03",$A$8:$P$63,8,FALSE))</x:f>
        <x:v>46315</x:v>
      </x:c>
      <x:c r="O53" s="4">
        <x:f>IF(COUNT(G53:H53)&lt;2,"Faltan fechas",MIN(H53-G53,VLOOKUP(B53,'Entregas y equipo'!$A$8:$D$13,4,FALSE)-H53,G53-N53))</x:f>
        <x:v>0</x:v>
      </x:c>
      <x:c r="P53" s="4" t="s">
        <x:v>231</x:v>
      </x:c>
    </x:row>
    <x:row r="54" ht="70.05000305175781" customHeight="1">
      <x:c r="A54" s="4" t="s">
        <x:v>57</x:v>
      </x:c>
      <x:c r="B54" s="4" t="s">
        <x:v>211</x:v>
      </x:c>
      <x:c r="C54" s="4" t="s">
        <x:v>168</x:v>
      </x:c>
      <x:c r="D54" s="4" t="s">
        <x:v>232</x:v>
      </x:c>
      <x:c r="E54" s="4" t="s">
        <x:v>87</x:v>
      </x:c>
      <x:c r="F54" s="4" t="s">
        <x:v>88</x:v>
      </x:c>
      <x:c r="G54" s="8">
        <x:v>46317</x:v>
      </x:c>
      <x:c r="H54" s="8">
        <x:v>46317</x:v>
      </x:c>
      <x:c r="I54" s="7">
        <x:f t="shared" si="1"/>
        <x:v>1</x:v>
      </x:c>
      <x:c r="J54" s="4" t="s">
        <x:v>233</x:v>
      </x:c>
      <x:c r="K54" s="9" t="s">
        <x:v>176</x:v>
      </x:c>
      <x:c r="L54" s="4" t="s">
        <x:v>234</x:v>
      </x:c>
      <x:c r="M54" s="9"/>
      <x:c r="N54" s="6">
        <x:f>MAX(VLOOKUP("S4-05",$A$8:$P$63,8,FALSE),VLOOKUP("S4-07",$A$8:$P$63,8,FALSE),VLOOKUP("S4-08",$A$8:$P$63,8,FALSE))</x:f>
        <x:v>46316</x:v>
      </x:c>
      <x:c r="O54" s="4">
        <x:f>IF(COUNT(G54:H54)&lt;2,"Faltan fechas",MIN(H54-G54,VLOOKUP(B54,'Entregas y equipo'!$A$8:$D$13,4,FALSE)-H54,G54-N54))</x:f>
        <x:v>0</x:v>
      </x:c>
      <x:c r="P54" s="4" t="s">
        <x:v>235</x:v>
      </x:c>
    </x:row>
    <x:row r="55" ht="70.05000305175781" customHeight="1">
      <x:c r="A55" s="4" t="s">
        <x:v>58</x:v>
      </x:c>
      <x:c r="B55" s="4" t="s">
        <x:v>211</x:v>
      </x:c>
      <x:c r="C55" s="4" t="s">
        <x:v>100</x:v>
      </x:c>
      <x:c r="D55" s="4" t="s">
        <x:v>236</x:v>
      </x:c>
      <x:c r="E55" s="4" t="s">
        <x:v>87</x:v>
      </x:c>
      <x:c r="F55" s="4" t="s">
        <x:v>88</x:v>
      </x:c>
      <x:c r="G55" s="8">
        <x:v>46318</x:v>
      </x:c>
      <x:c r="H55" s="8">
        <x:v>46318</x:v>
      </x:c>
      <x:c r="I55" s="7">
        <x:f t="shared" si="1"/>
        <x:v>1</x:v>
      </x:c>
      <x:c r="J55" s="4" t="s">
        <x:v>57</x:v>
      </x:c>
      <x:c r="K55" s="9" t="s">
        <x:v>176</x:v>
      </x:c>
      <x:c r="L55" s="4" t="s">
        <x:v>237</x:v>
      </x:c>
      <x:c r="M55" s="9"/>
      <x:c r="N55" s="6">
        <x:f>MAX(VLOOKUP("S4-09",$A$8:$P$63,8,FALSE))</x:f>
        <x:v>46317</x:v>
      </x:c>
      <x:c r="O55" s="4">
        <x:f>IF(COUNT(G55:H55)&lt;2,"Faltan fechas",MIN(H55-G55,VLOOKUP(B55,'Entregas y equipo'!$A$8:$D$13,4,FALSE)-H55,G55-N55))</x:f>
        <x:v>0</x:v>
      </x:c>
      <x:c r="P55" s="4" t="s">
        <x:v>110</x:v>
      </x:c>
    </x:row>
    <x:row r="56" ht="70.05000305175781" customHeight="1">
      <x:c r="A56" s="4" t="s">
        <x:v>59</x:v>
      </x:c>
      <x:c r="B56" s="4" t="s">
        <x:v>238</x:v>
      </x:c>
      <x:c r="C56" s="4" t="s">
        <x:v>164</x:v>
      </x:c>
      <x:c r="D56" s="4" t="s">
        <x:v>239</x:v>
      </x:c>
      <x:c r="E56" s="4" t="s">
        <x:v>107</x:v>
      </x:c>
      <x:c r="F56" s="4" t="s">
        <x:v>108</x:v>
      </x:c>
      <x:c r="G56" s="8">
        <x:v>46321</x:v>
      </x:c>
      <x:c r="H56" s="8">
        <x:v>46324</x:v>
      </x:c>
      <x:c r="I56" s="7">
        <x:f t="shared" si="1"/>
        <x:v>4</x:v>
      </x:c>
      <x:c r="J56" s="4" t="s">
        <x:v>58</x:v>
      </x:c>
      <x:c r="K56" s="9" t="s">
        <x:v>176</x:v>
      </x:c>
      <x:c r="L56" s="4" t="s">
        <x:v>240</x:v>
      </x:c>
      <x:c r="M56" s="9"/>
      <x:c r="N56" s="6">
        <x:f>MAX(VLOOKUP("S4-10",$A$8:$P$63,8,FALSE))</x:f>
        <x:v>46318</x:v>
      </x:c>
      <x:c r="O56" s="4">
        <x:f>IF(COUNT(G56:H56)&lt;2,"Faltan fechas",MIN(H56-G56,VLOOKUP(B56,'Entregas y equipo'!$A$8:$D$13,4,FALSE)-H56,G56-N56))</x:f>
        <x:v>3</x:v>
      </x:c>
      <x:c r="P56" s="4" t="s">
        <x:v>110</x:v>
      </x:c>
    </x:row>
    <x:row r="57" ht="70.05000305175781" customHeight="1">
      <x:c r="A57" s="4" t="s">
        <x:v>60</x:v>
      </x:c>
      <x:c r="B57" s="4" t="s">
        <x:v>238</x:v>
      </x:c>
      <x:c r="C57" s="4" t="s">
        <x:v>164</x:v>
      </x:c>
      <x:c r="D57" s="4" t="s">
        <x:v>241</x:v>
      </x:c>
      <x:c r="E57" s="4" t="s">
        <x:v>115</x:v>
      </x:c>
      <x:c r="F57" s="4" t="s">
        <x:v>108</x:v>
      </x:c>
      <x:c r="G57" s="8">
        <x:v>46321</x:v>
      </x:c>
      <x:c r="H57" s="8">
        <x:v>46324</x:v>
      </x:c>
      <x:c r="I57" s="7">
        <x:f t="shared" si="1"/>
        <x:v>4</x:v>
      </x:c>
      <x:c r="J57" s="4" t="s">
        <x:v>58</x:v>
      </x:c>
      <x:c r="K57" s="9" t="s">
        <x:v>176</x:v>
      </x:c>
      <x:c r="L57" s="4" t="s">
        <x:v>242</x:v>
      </x:c>
      <x:c r="M57" s="9"/>
      <x:c r="N57" s="6">
        <x:f>MAX(VLOOKUP("S4-10",$A$8:$P$63,8,FALSE))</x:f>
        <x:v>46318</x:v>
      </x:c>
      <x:c r="O57" s="4">
        <x:f>IF(COUNT(G57:H57)&lt;2,"Faltan fechas",MIN(H57-G57,VLOOKUP(B57,'Entregas y equipo'!$A$8:$D$13,4,FALSE)-H57,G57-N57))</x:f>
        <x:v>3</x:v>
      </x:c>
      <x:c r="P57" s="4" t="s">
        <x:v>110</x:v>
      </x:c>
    </x:row>
    <x:row r="58" ht="70.05000305175781" customHeight="1">
      <x:c r="A58" s="4" t="s">
        <x:v>61</x:v>
      </x:c>
      <x:c r="B58" s="4" t="s">
        <x:v>238</x:v>
      </x:c>
      <x:c r="C58" s="4" t="s">
        <x:v>243</x:v>
      </x:c>
      <x:c r="D58" s="4" t="s">
        <x:v>244</x:v>
      </x:c>
      <x:c r="E58" s="4" t="s">
        <x:v>112</x:v>
      </x:c>
      <x:c r="F58" s="4" t="s">
        <x:v>107</x:v>
      </x:c>
      <x:c r="G58" s="8">
        <x:v>46321</x:v>
      </x:c>
      <x:c r="H58" s="8">
        <x:v>46324</x:v>
      </x:c>
      <x:c r="I58" s="7">
        <x:f t="shared" si="1"/>
        <x:v>4</x:v>
      </x:c>
      <x:c r="J58" s="4" t="s">
        <x:v>58</x:v>
      </x:c>
      <x:c r="K58" s="9" t="s">
        <x:v>176</x:v>
      </x:c>
      <x:c r="L58" s="4" t="s">
        <x:v>245</x:v>
      </x:c>
      <x:c r="M58" s="9"/>
      <x:c r="N58" s="6">
        <x:f>MAX(VLOOKUP("S4-10",$A$8:$P$63,8,FALSE))</x:f>
        <x:v>46318</x:v>
      </x:c>
      <x:c r="O58" s="4">
        <x:f>IF(COUNT(G58:H58)&lt;2,"Faltan fechas",MIN(H58-G58,VLOOKUP(B58,'Entregas y equipo'!$A$8:$D$13,4,FALSE)-H58,G58-N58))</x:f>
        <x:v>3</x:v>
      </x:c>
      <x:c r="P58" s="4" t="s">
        <x:v>178</x:v>
      </x:c>
    </x:row>
    <x:row r="59" ht="70.05000305175781" customHeight="1">
      <x:c r="A59" s="4" t="s">
        <x:v>62</x:v>
      </x:c>
      <x:c r="B59" s="4" t="s">
        <x:v>238</x:v>
      </x:c>
      <x:c r="C59" s="4" t="s">
        <x:v>155</x:v>
      </x:c>
      <x:c r="D59" s="4" t="s">
        <x:v>246</x:v>
      </x:c>
      <x:c r="E59" s="4" t="s">
        <x:v>108</x:v>
      </x:c>
      <x:c r="F59" s="4" t="s">
        <x:v>88</x:v>
      </x:c>
      <x:c r="G59" s="8">
        <x:v>46321</x:v>
      </x:c>
      <x:c r="H59" s="8">
        <x:v>46325</x:v>
      </x:c>
      <x:c r="I59" s="7">
        <x:f t="shared" si="1"/>
        <x:v>5</x:v>
      </x:c>
      <x:c r="J59" s="4" t="s">
        <x:v>58</x:v>
      </x:c>
      <x:c r="K59" s="9" t="s">
        <x:v>176</x:v>
      </x:c>
      <x:c r="L59" s="4" t="s">
        <x:v>247</x:v>
      </x:c>
      <x:c r="M59" s="9"/>
      <x:c r="N59" s="6">
        <x:f>MAX(VLOOKUP("S4-10",$A$8:$P$63,8,FALSE))</x:f>
        <x:v>46318</x:v>
      </x:c>
      <x:c r="O59" s="4">
        <x:f>IF(COUNT(G59:H59)&lt;2,"Faltan fechas",MIN(H59-G59,VLOOKUP(B59,'Entregas y equipo'!$A$8:$D$13,4,FALSE)-H59,G59-N59))</x:f>
        <x:v>3</x:v>
      </x:c>
      <x:c r="P59" s="4" t="s">
        <x:v>248</x:v>
      </x:c>
    </x:row>
    <x:row r="60" ht="70.05000305175781" customHeight="1">
      <x:c r="A60" s="4" t="s">
        <x:v>63</x:v>
      </x:c>
      <x:c r="B60" s="4" t="s">
        <x:v>238</x:v>
      </x:c>
      <x:c r="C60" s="4" t="s">
        <x:v>168</x:v>
      </x:c>
      <x:c r="D60" s="4" t="s">
        <x:v>249</x:v>
      </x:c>
      <x:c r="E60" s="4" t="s">
        <x:v>87</x:v>
      </x:c>
      <x:c r="F60" s="4" t="s">
        <x:v>88</x:v>
      </x:c>
      <x:c r="G60" s="8">
        <x:v>46325</x:v>
      </x:c>
      <x:c r="H60" s="8">
        <x:v>46329</x:v>
      </x:c>
      <x:c r="I60" s="7">
        <x:f t="shared" si="1"/>
        <x:v>5</x:v>
      </x:c>
      <x:c r="J60" s="4" t="s">
        <x:v>250</x:v>
      </x:c>
      <x:c r="K60" s="9" t="s">
        <x:v>176</x:v>
      </x:c>
      <x:c r="L60" s="4" t="s">
        <x:v>251</x:v>
      </x:c>
      <x:c r="M60" s="9"/>
      <x:c r="N60" s="6">
        <x:f>MAX(VLOOKUP("S5-01",$A$8:$P$63,8,FALSE),VLOOKUP("S5-02",$A$8:$P$63,8,FALSE),VLOOKUP("S5-03",$A$8:$P$63,8,FALSE))</x:f>
        <x:v>46324</x:v>
      </x:c>
      <x:c r="O60" s="4">
        <x:f>IF(COUNT(G60:H60)&lt;2,"Faltan fechas",MIN(H60-G60,VLOOKUP(B60,'Entregas y equipo'!$A$8:$D$13,4,FALSE)-H60,G60-N60))</x:f>
        <x:v>1</x:v>
      </x:c>
      <x:c r="P60" s="4" t="s">
        <x:v>252</x:v>
      </x:c>
    </x:row>
    <x:row r="61" ht="70.05000305175781" customHeight="1">
      <x:c r="A61" s="4" t="s">
        <x:v>64</x:v>
      </x:c>
      <x:c r="B61" s="4" t="s">
        <x:v>238</x:v>
      </x:c>
      <x:c r="C61" s="4" t="s">
        <x:v>253</x:v>
      </x:c>
      <x:c r="D61" s="4" t="s">
        <x:v>254</x:v>
      </x:c>
      <x:c r="E61" s="4" t="s">
        <x:v>87</x:v>
      </x:c>
      <x:c r="F61" s="4" t="s">
        <x:v>88</x:v>
      </x:c>
      <x:c r="G61" s="8">
        <x:v>46329</x:v>
      </x:c>
      <x:c r="H61" s="8">
        <x:v>46330</x:v>
      </x:c>
      <x:c r="I61" s="7">
        <x:f t="shared" si="1"/>
        <x:v>2</x:v>
      </x:c>
      <x:c r="J61" s="4" t="s">
        <x:v>63</x:v>
      </x:c>
      <x:c r="K61" s="9" t="s">
        <x:v>176</x:v>
      </x:c>
      <x:c r="L61" s="4" t="s">
        <x:v>255</x:v>
      </x:c>
      <x:c r="M61" s="9"/>
      <x:c r="N61" s="6">
        <x:f>MAX(VLOOKUP("S5-05",$A$8:$P$63,8,FALSE))</x:f>
        <x:v>46329</x:v>
      </x:c>
      <x:c r="O61" s="4">
        <x:f>IF(COUNT(G61:H61)&lt;2,"Faltan fechas",MIN(H61-G61,VLOOKUP(B61,'Entregas y equipo'!$A$8:$D$13,4,FALSE)-H61,G61-N61))</x:f>
        <x:v>0</x:v>
      </x:c>
      <x:c r="P61" s="4" t="s">
        <x:v>256</x:v>
      </x:c>
    </x:row>
    <x:row r="62" ht="70.05000305175781" customHeight="1">
      <x:c r="A62" s="4" t="s">
        <x:v>65</x:v>
      </x:c>
      <x:c r="B62" s="4" t="s">
        <x:v>238</x:v>
      </x:c>
      <x:c r="C62" s="4" t="s">
        <x:v>257</x:v>
      </x:c>
      <x:c r="D62" s="4" t="s">
        <x:v>258</x:v>
      </x:c>
      <x:c r="E62" s="4" t="s">
        <x:v>87</x:v>
      </x:c>
      <x:c r="F62" s="4" t="s">
        <x:v>88</x:v>
      </x:c>
      <x:c r="G62" s="8">
        <x:v>46331</x:v>
      </x:c>
      <x:c r="H62" s="8">
        <x:v>46331</x:v>
      </x:c>
      <x:c r="I62" s="7">
        <x:f t="shared" si="1"/>
        <x:v>1</x:v>
      </x:c>
      <x:c r="J62" s="4" t="s">
        <x:v>259</x:v>
      </x:c>
      <x:c r="K62" s="9" t="s">
        <x:v>176</x:v>
      </x:c>
      <x:c r="L62" s="4" t="s">
        <x:v>260</x:v>
      </x:c>
      <x:c r="M62" s="9"/>
      <x:c r="N62" s="6">
        <x:f>MAX(VLOOKUP("S5-04",$A$8:$P$63,8,FALSE),VLOOKUP("S5-06",$A$8:$P$63,8,FALSE))</x:f>
        <x:v>46330</x:v>
      </x:c>
      <x:c r="O62" s="4">
        <x:f>IF(COUNT(G62:H62)&lt;2,"Faltan fechas",MIN(H62-G62,VLOOKUP(B62,'Entregas y equipo'!$A$8:$D$13,4,FALSE)-H62,G62-N62))</x:f>
        <x:v>0</x:v>
      </x:c>
      <x:c r="P62" s="4" t="s">
        <x:v>110</x:v>
      </x:c>
    </x:row>
    <x:row r="63" ht="70.05000305175781" customHeight="1">
      <x:c r="A63" s="4" t="s">
        <x:v>66</x:v>
      </x:c>
      <x:c r="B63" s="4" t="s">
        <x:v>238</x:v>
      </x:c>
      <x:c r="C63" s="4" t="s">
        <x:v>100</x:v>
      </x:c>
      <x:c r="D63" s="4" t="s">
        <x:v>261</x:v>
      </x:c>
      <x:c r="E63" s="4" t="s">
        <x:v>87</x:v>
      </x:c>
      <x:c r="F63" s="4" t="s">
        <x:v>88</x:v>
      </x:c>
      <x:c r="G63" s="8">
        <x:v>46332</x:v>
      </x:c>
      <x:c r="H63" s="8">
        <x:v>46332</x:v>
      </x:c>
      <x:c r="I63" s="7">
        <x:f t="shared" si="1"/>
        <x:v>1</x:v>
      </x:c>
      <x:c r="J63" s="4" t="s">
        <x:v>65</x:v>
      </x:c>
      <x:c r="K63" s="9" t="s">
        <x:v>176</x:v>
      </x:c>
      <x:c r="L63" s="4" t="s">
        <x:v>262</x:v>
      </x:c>
      <x:c r="M63" s="9"/>
      <x:c r="N63" s="6">
        <x:f>MAX(VLOOKUP("S5-07",$A$8:$P$63,8,FALSE))</x:f>
        <x:v>46331</x:v>
      </x:c>
      <x:c r="O63" s="4">
        <x:f>IF(COUNT(G63:H63)&lt;2,"Faltan fechas",MIN(H63-G63,VLOOKUP(B63,'Entregas y equipo'!$A$8:$D$13,4,FALSE)-H63,G63-N63))</x:f>
        <x:v>0</x:v>
      </x:c>
      <x:c r="P63" s="4" t="s">
        <x:v>263</x:v>
      </x:c>
    </x:row>
  </x:sheetData>
  <x:conditionalFormatting sqref="K8:K63">
    <x:cfRule type="containsText" dxfId="1" priority="2" operator="containsText" text="Bloqueada"/>
    <x:cfRule type="expression" dxfId="16" priority="3">
      <x:formula>$K8="Implementada"</x:formula>
    </x:cfRule>
    <x:cfRule type="expression" dxfId="17" priority="4">
      <x:formula>$K8="Parcial"</x:formula>
    </x:cfRule>
    <x:cfRule type="expression" dxfId="22" priority="5">
      <x:formula>$K8="Verificada"</x:formula>
    </x:cfRule>
  </x:conditionalFormatting>
  <x:conditionalFormatting sqref="O8:O63">
    <x:cfRule type="cellIs" dxfId="0" priority="1" operator="lessThan">
      <x:formula>0</x:formula>
    </x:cfRule>
  </x:conditionalFormatting>
  <x:dataValidations count="2">
    <x:dataValidation type="list" sqref="K8:K63">
      <x:formula1>"Por confirmar,Base verificada,Pendiente,Planificada,En progreso,En revisión,Hecha,Bloqueada,Implementada,Parcial,Verificada"</x:formula1>
    </x:dataValidation>
    <x:dataValidation type="list" sqref="E8:E63">
      <x:formula1>"Andy,Geovanny,Elden,Diego,Equipo"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e2b5cbd50e40cc"/>
  </x:tableParts>
</x:worksheet>
</file>

<file path=xl/worksheets/sheet4.xml><?xml version="1.0" encoding="utf-8"?>
<x:worksheet xmlns:x="http://schemas.openxmlformats.org/spreadsheetml/2006/main">
  <x:sheetPr>
    <x:tabColor rgb="FFD5A44C"/>
  </x:sheetPr>
  <x:sheetViews>
    <x:sheetView showGridLines="0" workbookViewId="0"/>
  </x:sheetViews>
  <x:sheetFormatPr baseColWidth="10" defaultColWidth="8.796875" defaultRowHeight="13.800000190734863"/>
  <x:cols>
    <x:col min="1" max="1" width="8.19921875" customWidth="1"/>
    <x:col min="2" max="2" width="34.69921875" customWidth="1"/>
    <x:col min="3" max="4" width="12.19921875" customWidth="1"/>
    <x:col min="5" max="5" width="12.3984375" customWidth="1"/>
    <x:col min="6" max="6" width="49.3984375" customWidth="1"/>
    <x:col min="7" max="7" width="19.59765625" customWidth="1"/>
    <x:col min="8" max="8" width="11.09765625" customWidth="1"/>
    <x:col min="9" max="9" width="12.3984375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0" customHeight="1">
      <x:c r="A2" s="2" t="s">
        <x:v>264</x:v>
      </x:c>
      <x:c r="B2" s="1"/>
      <x:c r="C2" s="1"/>
      <x:c r="D2" s="1"/>
      <x:c r="E2" s="1"/>
      <x:c r="F2" s="1"/>
      <x:c r="G2" s="1"/>
      <x:c r="H2" s="1"/>
      <x:c r="I2" s="1"/>
    </x:row>
    <x:row r="3" ht="25.049999237060547" customHeight="1">
      <x:c r="A3" s="3" t="s">
        <x:v>265</x:v>
      </x:c>
      <x:c r="B3" s="1"/>
      <x:c r="C3" s="10" t="n">
        <x:v>46290</x:v>
      </x:c>
      <x:c r="D3" s="1"/>
      <x:c r="E3" s="1"/>
      <x:c r="F3" s="1"/>
      <x:c r="G3" s="1"/>
      <x:c r="H3" s="1"/>
      <x:c r="I3" s="1"/>
    </x:row>
    <x:row r="4" ht="25.049999237060547" customHeight="1">
      <x:c r="A4" s="3" t="s">
        <x:v>266</x:v>
      </x:c>
      <x:c r="B4" s="1"/>
      <x:c r="C4" s="1"/>
      <x:c r="D4" s="1"/>
      <x:c r="E4" s="1"/>
      <x:c r="F4" s="1"/>
      <x:c r="G4" s="1"/>
      <x:c r="H4" s="1"/>
      <x:c r="I4" s="1"/>
    </x:row>
    <x:row r="5" ht="25.049999237060547" customHeight="1">
      <x:c r="A5" s="3" t="s">
        <x:v>267</x:v>
      </x:c>
      <x:c r="B5" s="1"/>
      <x:c r="C5" s="1"/>
      <x:c r="D5" s="1"/>
      <x:c r="E5" s="1"/>
      <x:c r="F5" s="1"/>
      <x:c r="G5" s="1"/>
      <x:c r="H5" s="1"/>
      <x:c r="I5" s="1"/>
    </x:row>
    <x:row r="6" ht="25.049999237060547" customHeight="1">
      <x:c r="A6" s="45" t="str">
        <x:v>Verificada = pruebas aprobadas; Implementada = código presente y compilado; En revisión = evidencia documental por conciliar.</x:v>
      </x:c>
      <x:c r="B6" s="1"/>
      <x:c r="C6" s="1"/>
      <x:c r="D6" s="1"/>
      <x:c r="E6" s="1"/>
      <x:c r="F6" s="1"/>
      <x:c r="G6" s="1"/>
      <x:c r="H6" s="1"/>
      <x:c r="I6" s="1"/>
    </x:row>
    <x:row r="7" ht="43.95000076293945" customHeight="1">
      <x:c r="A7" s="5" t="s">
        <x:v>72</x:v>
      </x:c>
      <x:c r="B7" s="5" t="s">
        <x:v>100</x:v>
      </x:c>
      <x:c r="C7" s="5" t="s">
        <x:v>268</x:v>
      </x:c>
      <x:c r="D7" s="5" t="s">
        <x:v>269</x:v>
      </x:c>
      <x:c r="E7" s="5" t="s">
        <x:v>270</x:v>
      </x:c>
      <x:c r="F7" s="5" t="s">
        <x:v>271</x:v>
      </x:c>
      <x:c r="G7" s="5" t="s">
        <x:v>272</x:v>
      </x:c>
      <x:c r="H7" s="5" t="s">
        <x:v>273</x:v>
      </x:c>
      <x:c r="I7" s="5" t="s">
        <x:v>274</x:v>
      </x:c>
    </x:row>
    <x:row r="8" ht="76.05000305175781" customHeight="1">
      <x:c r="A8" s="12" t="s">
        <x:v>84</x:v>
      </x:c>
      <x:c r="B8" s="12" t="s">
        <x:v>275</x:v>
      </x:c>
      <x:c r="C8" s="13">
        <x:v>46258</x:v>
      </x:c>
      <x:c r="D8" s="13">
        <x:v>46262</x:v>
      </x:c>
      <x:c r="E8" s="14"/>
      <x:c r="F8" s="12" t="s">
        <x:v>276</x:v>
      </x:c>
      <x:c r="G8" s="12" t="s">
        <x:v>277</x:v>
      </x:c>
      <x:c r="H8" s="12" t="n">
        <x:f>COUNTIFS(Tareas!$B$8:$B$63,A8)</x:f>
        <x:v>4</x:v>
      </x:c>
      <x:c r="I8" s="12" t="n">
        <x:f>COUNTIFS(Tareas!$B$8:$B$63,A8,Tareas!$K$8:$K$63,"Hecha",Tareas!$M$8:$M$63,"&lt;&gt;")</x:f>
        <x:v>0</x:v>
      </x:c>
    </x:row>
    <x:row r="9" ht="76.05000305175781" customHeight="1">
      <x:c r="A9" s="4" t="s">
        <x:v>104</x:v>
      </x:c>
      <x:c r="B9" s="4" t="s">
        <x:v>278</x:v>
      </x:c>
      <x:c r="C9" s="6">
        <x:v>46263</x:v>
      </x:c>
      <x:c r="D9" s="6">
        <x:v>46276</x:v>
      </x:c>
      <x:c r="E9" s="11"/>
      <x:c r="F9" s="4" t="s">
        <x:v>279</x:v>
      </x:c>
      <x:c r="G9" s="4" t="s">
        <x:v>277</x:v>
      </x:c>
      <x:c r="H9" s="4" t="n">
        <x:f>COUNTIFS(Tareas!$B$8:$B$63,A9)</x:f>
        <x:v>6</x:v>
      </x:c>
      <x:c r="I9" s="4" t="n">
        <x:f>COUNTIFS(Tareas!$B$8:$B$63,A9,Tareas!$K$8:$K$63,"Hecha",Tareas!$M$8:$M$63,"&lt;&gt;")</x:f>
        <x:v>0</x:v>
      </x:c>
    </x:row>
    <x:row r="10" ht="76.05000305175781" customHeight="1">
      <x:c r="A10" s="12" t="s">
        <x:v>127</x:v>
      </x:c>
      <x:c r="B10" s="12" t="s">
        <x:v>280</x:v>
      </x:c>
      <x:c r="C10" s="13">
        <x:v>46277</x:v>
      </x:c>
      <x:c r="D10" s="13">
        <x:v>46290</x:v>
      </x:c>
      <x:c r="E10" s="14">
        <x:v>0.3</x:v>
      </x:c>
      <x:c r="F10" s="12" t="s">
        <x:v>281</x:v>
      </x:c>
      <x:c r="G10" s="12" t="s">
        <x:v>277</x:v>
      </x:c>
      <x:c r="H10" s="12" t="n">
        <x:f>COUNTIFS(Tareas!$B$8:$B$63,A10)</x:f>
        <x:v>16</x:v>
      </x:c>
      <x:c r="I10" s="12" t="n">
        <x:f>COUNTIFS(Tareas!$B$8:$B$63,A10,Tareas!$K$8:$K$63,"Hecha",Tareas!$M$8:$M$63,"&lt;&gt;")</x:f>
        <x:v>1</x:v>
      </x:c>
    </x:row>
    <x:row r="11" ht="76.05000305175781" customHeight="1">
      <x:c r="A11" s="4" t="s">
        <x:v>174</x:v>
      </x:c>
      <x:c r="B11" s="4" t="s">
        <x:v>282</x:v>
      </x:c>
      <x:c r="C11" s="6">
        <x:v>46291</x:v>
      </x:c>
      <x:c r="D11" s="6">
        <x:v>46304</x:v>
      </x:c>
      <x:c r="E11" s="11">
        <x:v>0.5</x:v>
      </x:c>
      <x:c r="F11" s="4" t="s">
        <x:v>283</x:v>
      </x:c>
      <x:c r="G11" s="4" t="s">
        <x:v>277</x:v>
      </x:c>
      <x:c r="H11" s="4" t="n">
        <x:f>COUNTIFS(Tareas!$B$8:$B$63,A11)</x:f>
        <x:v>12</x:v>
      </x:c>
      <x:c r="I11" s="4" t="n">
        <x:f>COUNTIFS(Tareas!$B$8:$B$63,A11,Tareas!$K$8:$K$63,"Hecha",Tareas!$M$8:$M$63,"&lt;&gt;")</x:f>
        <x:v>0</x:v>
      </x:c>
    </x:row>
    <x:row r="12" ht="76.05000305175781" customHeight="1">
      <x:c r="A12" s="12" t="s">
        <x:v>211</x:v>
      </x:c>
      <x:c r="B12" s="12" t="s">
        <x:v>284</x:v>
      </x:c>
      <x:c r="C12" s="13">
        <x:v>46305</x:v>
      </x:c>
      <x:c r="D12" s="13">
        <x:v>46318</x:v>
      </x:c>
      <x:c r="E12" s="14">
        <x:v>0.8</x:v>
      </x:c>
      <x:c r="F12" s="12" t="s">
        <x:v>285</x:v>
      </x:c>
      <x:c r="G12" s="12" t="s">
        <x:v>277</x:v>
      </x:c>
      <x:c r="H12" s="12" t="n">
        <x:f>COUNTIFS(Tareas!$B$8:$B$63,A12)</x:f>
        <x:v>10</x:v>
      </x:c>
      <x:c r="I12" s="12" t="n">
        <x:f>COUNTIFS(Tareas!$B$8:$B$63,A12,Tareas!$K$8:$K$63,"Hecha",Tareas!$M$8:$M$63,"&lt;&gt;")</x:f>
        <x:v>0</x:v>
      </x:c>
    </x:row>
    <x:row r="13" ht="76.05000305175781" customHeight="1">
      <x:c r="A13" s="4" t="s">
        <x:v>238</x:v>
      </x:c>
      <x:c r="B13" s="4" t="s">
        <x:v>286</x:v>
      </x:c>
      <x:c r="C13" s="6">
        <x:v>46319</x:v>
      </x:c>
      <x:c r="D13" s="8">
        <x:v>46332</x:v>
      </x:c>
      <x:c r="E13" s="11">
        <x:v>1</x:v>
      </x:c>
      <x:c r="F13" s="4" t="s">
        <x:v>287</x:v>
      </x:c>
      <x:c r="G13" s="4" t="s">
        <x:v>288</x:v>
      </x:c>
      <x:c r="H13" s="4" t="n">
        <x:f>COUNTIFS(Tareas!$B$8:$B$63,A13)</x:f>
        <x:v>8</x:v>
      </x:c>
      <x:c r="I13" s="4" t="n">
        <x:f>COUNTIFS(Tareas!$B$8:$B$63,A13,Tareas!$K$8:$K$63,"Hecha",Tareas!$M$8:$M$63,"&lt;&gt;")</x:f>
        <x:v>0</x:v>
      </x:c>
    </x:row>
    <x:row r="14" ht="25.049999237060547" customHeight="1">
      <x:c r="A14" s="1"/>
      <x:c r="B14" s="1"/>
      <x:c r="C14" s="1"/>
      <x:c r="D14" s="1"/>
      <x:c r="E14" s="1"/>
      <x:c r="F14" s="1"/>
      <x:c r="G14" s="1"/>
      <x:c r="H14" s="1"/>
      <x:c r="I14" s="1"/>
    </x:row>
    <x:row r="15" ht="25.049999237060547" customHeight="1">
      <x:c r="A15" s="15" t="s">
        <x:v>289</x:v>
      </x:c>
      <x:c r="B15" s="1"/>
      <x:c r="C15" s="1"/>
      <x:c r="D15" s="1"/>
      <x:c r="E15" s="1"/>
      <x:c r="F15" s="1"/>
      <x:c r="G15" s="1"/>
      <x:c r="H15" s="1"/>
      <x:c r="I15" s="1"/>
    </x:row>
    <x:row r="16" ht="25.049999237060547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34.04999923706055" customHeight="1">
      <x:c r="A17" s="5" t="s">
        <x:v>290</x:v>
      </x:c>
      <x:c r="B17" s="5" t="s">
        <x:v>291</x:v>
      </x:c>
      <x:c r="C17" s="5" t="s">
        <x:v>292</x:v>
      </x:c>
      <x:c r="D17" s="5" t="s">
        <x:v>293</x:v>
      </x:c>
      <x:c r="E17" s="5" t="s">
        <x:v>294</x:v>
      </x:c>
      <x:c r="F17" s="5" t="s">
        <x:v>295</x:v>
      </x:c>
      <x:c r="G17" s="1"/>
      <x:c r="H17" s="1"/>
      <x:c r="I17" s="1"/>
    </x:row>
    <x:row r="18" ht="60" customHeight="1">
      <x:c r="A18" s="4" t="s">
        <x:v>107</x:v>
      </x:c>
      <x:c r="B18" s="4" t="s">
        <x:v>296</x:v>
      </x:c>
      <x:c r="C18" s="4" t="s">
        <x:v>297</x:v>
      </x:c>
      <x:c r="D18" s="4" t="s">
        <x:v>298</x:v>
      </x:c>
      <x:c r="E18" s="4" t="n">
        <x:f>COUNTIFS(Tareas!$E$8:$E$63,A18)</x:f>
        <x:v>8</x:v>
      </x:c>
      <x:c r="F18" s="4" t="s">
        <x:v>299</x:v>
      </x:c>
      <x:c r="G18" s="1"/>
      <x:c r="H18" s="1"/>
      <x:c r="I18" s="1"/>
    </x:row>
    <x:row r="19" ht="60" customHeight="1">
      <x:c r="A19" s="4" t="s">
        <x:v>112</x:v>
      </x:c>
      <x:c r="B19" s="4" t="s">
        <x:v>300</x:v>
      </x:c>
      <x:c r="C19" s="4" t="s">
        <x:v>301</x:v>
      </x:c>
      <x:c r="D19" s="4" t="s">
        <x:v>144</x:v>
      </x:c>
      <x:c r="E19" s="4" t="n">
        <x:f>COUNTIFS(Tareas!$E$8:$E$63,A19)</x:f>
        <x:v>13</x:v>
      </x:c>
      <x:c r="F19" s="4" t="s">
        <x:v>302</x:v>
      </x:c>
      <x:c r="G19" s="1"/>
      <x:c r="H19" s="1"/>
      <x:c r="I19" s="1"/>
    </x:row>
    <x:row r="20" ht="60" customHeight="1">
      <x:c r="A20" s="4" t="s">
        <x:v>115</x:v>
      </x:c>
      <x:c r="B20" s="4" t="s">
        <x:v>303</x:v>
      </x:c>
      <x:c r="C20" s="4" t="s">
        <x:v>304</x:v>
      </x:c>
      <x:c r="D20" s="4" t="s">
        <x:v>305</x:v>
      </x:c>
      <x:c r="E20" s="4" t="n">
        <x:f>COUNTIFS(Tareas!$E$8:$E$63,A20)</x:f>
        <x:v>9</x:v>
      </x:c>
      <x:c r="F20" s="4" t="s">
        <x:v>306</x:v>
      </x:c>
      <x:c r="G20" s="1"/>
      <x:c r="H20" s="1"/>
      <x:c r="I20" s="1"/>
    </x:row>
    <x:row r="21" ht="60" customHeight="1">
      <x:c r="A21" s="4" t="s">
        <x:v>108</x:v>
      </x:c>
      <x:c r="B21" s="4" t="s">
        <x:v>307</x:v>
      </x:c>
      <x:c r="C21" s="4" t="s">
        <x:v>308</x:v>
      </x:c>
      <x:c r="D21" s="4" t="s">
        <x:v>155</x:v>
      </x:c>
      <x:c r="E21" s="4" t="n">
        <x:f>COUNTIFS(Tareas!$E$8:$E$63,A21)</x:f>
        <x:v>8</x:v>
      </x:c>
      <x:c r="F21" s="4" t="s">
        <x:v>309</x:v>
      </x:c>
      <x:c r="G21" s="1"/>
      <x:c r="H21" s="1"/>
      <x:c r="I21" s="1"/>
    </x:row>
    <x:row r="22" ht="25.049999237060547" customHeight="1">
      <x:c r="A22" s="1"/>
      <x:c r="B22" s="1"/>
      <x:c r="C22" s="1"/>
      <x:c r="D22" s="1"/>
      <x:c r="E22" s="1"/>
      <x:c r="F22" s="1"/>
      <x:c r="G22" s="1"/>
      <x:c r="H22" s="1"/>
      <x:c r="I22" s="1"/>
    </x:row>
    <x:row r="23" ht="25.049999237060547" customHeight="1">
      <x:c r="A23" s="15" t="s">
        <x:v>310</x:v>
      </x:c>
      <x:c r="B23" s="1"/>
      <x:c r="C23" s="1"/>
      <x:c r="D23" s="1"/>
      <x:c r="E23" s="1"/>
      <x:c r="F23" s="1"/>
      <x:c r="G23" s="1"/>
      <x:c r="H23" s="1"/>
      <x:c r="I23" s="1"/>
    </x:row>
    <x:row r="24" ht="25.049999237060547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5.049999237060547" customHeight="1">
      <x:c r="A25" s="3" t="s">
        <x:v>311</x:v>
      </x:c>
      <x:c r="B25" s="1"/>
      <x:c r="C25" s="1"/>
      <x:c r="D25" s="1"/>
      <x:c r="E25" s="1"/>
      <x:c r="F25" s="1"/>
      <x:c r="G25" s="1"/>
      <x:c r="H25" s="1"/>
      <x:c r="I25" s="1"/>
    </x:row>
    <x:row r="26" ht="25.049999237060547" customHeight="1">
      <x:c r="A26" s="3" t="str">
        <x:v>S0/S1: se conservan las declaraciones del equipo en el Excel de main. Esta actualización no certifica entregas académicas.</x:v>
      </x:c>
      <x:c r="B26" s="1"/>
      <x:c r="C26" s="1"/>
      <x:c r="D26" s="1"/>
      <x:c r="E26" s="1"/>
      <x:c r="F26" s="1"/>
      <x:c r="G26" s="1"/>
      <x:c r="H26" s="1"/>
      <x:c r="I26" s="1"/>
    </x:row>
    <x:row r="27" ht="25.049999237060547" customHeight="1">
      <x:c r="A27" s="3" t="str">
        <x:v>S2: backend verificado; formularios, sesión, carga y galería implementados. Falta recorrido documentado en navegador y cierre.</x:v>
      </x:c>
      <x:c r="B27" s="1"/>
      <x:c r="C27" s="1"/>
      <x:c r="D27" s="1"/>
      <x:c r="E27" s="1"/>
      <x:c r="F27" s="1"/>
      <x:c r="G27" s="1"/>
      <x:c r="H27" s="1"/>
      <x:c r="I27" s="1"/>
    </x:row>
    <x:row r="28" ht="25.049999237060547" customHeight="1">
      <x:c r="A28" s="3" t="str">
        <x:v>Se mantienen fechas y responsables del plan. Los avances en código no se convierten en fechas reales de terminación.</x:v>
      </x:c>
      <x:c r="B28" s="1"/>
      <x:c r="C28" s="1"/>
      <x:c r="D28" s="1"/>
      <x:c r="E28" s="1"/>
      <x:c r="F28" s="1"/>
      <x:c r="G28" s="1"/>
      <x:c r="H28" s="1"/>
      <x:c r="I28" s="1"/>
    </x:row>
    <x:row r="29" ht="25.049999237060547" customHeight="1">
      <x:c r="A29" s="3" t="str">
        <x:v>S3-03: logout y limpieza de sesión ya implementados; se conserva la fecha del hito y falta prueba de interfaz.</x:v>
      </x:c>
      <x:c r="B29" s="1"/>
      <x:c r="C29" s="1"/>
      <x:c r="D29" s="1"/>
      <x:c r="E29" s="1"/>
      <x:c r="F29" s="1"/>
      <x:c r="G29" s="1"/>
      <x:c r="H29" s="1"/>
      <x:c r="I29" s="1"/>
    </x:row>
    <x:row r="30" ht="25.049999237060547" customHeight="1">
      <x:c r="A30" s="3" t="s">
        <x:v>312</x:v>
      </x:c>
      <x:c r="B30" s="1"/>
      <x:c r="C30" s="1"/>
      <x:c r="D30" s="1"/>
      <x:c r="E30" s="1"/>
      <x:c r="F30" s="1"/>
      <x:c r="G30" s="1"/>
      <x:c r="H30" s="1"/>
      <x:c r="I30" s="1"/>
    </x:row>
    <x:row r="31" ht="25.049999237060547" customHeight="1">
      <x:c r="A31" s="3" t="s">
        <x:v>313</x:v>
      </x:c>
      <x:c r="B31" s="1"/>
      <x:c r="C31" s="1"/>
      <x:c r="D31" s="1"/>
      <x:c r="E31" s="1"/>
      <x:c r="F31" s="1"/>
      <x:c r="G31" s="1"/>
      <x:c r="H31" s="1"/>
      <x:c r="I31" s="1"/>
    </x:row>
    <x:row r="32" ht="25.049999237060547" customHeight="1">
      <x:c r="A32" s="3" t="s">
        <x:v>314</x:v>
      </x:c>
      <x:c r="B32" s="1"/>
      <x:c r="C32" s="1"/>
      <x:c r="D32" s="1"/>
      <x:c r="E32" s="1"/>
      <x:c r="F32" s="1"/>
      <x:c r="G32" s="1"/>
      <x:c r="H32" s="1"/>
      <x:c r="I32" s="1"/>
    </x:row>
    <x:row r="33" ht="25.049999237060547" customHeight="1">
      <x:c r="A33" s="3" t="s">
        <x:v>315</x:v>
      </x:c>
      <x:c r="B33" s="1"/>
      <x:c r="C33" s="1"/>
      <x:c r="D33" s="1"/>
      <x:c r="E33" s="1"/>
      <x:c r="F33" s="1"/>
      <x:c r="G33" s="1"/>
      <x:c r="H33" s="1"/>
      <x:c r="I33" s="1"/>
    </x:row>
    <x:row r="34" ht="25.049999237060547" customHeight="1">
      <x:c r="A34" s="3" t="s">
        <x:v>316</x:v>
      </x:c>
      <x:c r="B34" s="1"/>
      <x:c r="C34" s="1"/>
      <x:c r="D34" s="1"/>
      <x:c r="E34" s="1"/>
      <x:c r="F34" s="1"/>
      <x:c r="G34" s="1"/>
      <x:c r="H34" s="1"/>
      <x:c r="I34" s="1"/>
    </x:row>
    <x:row r="35" ht="25.049999237060547" customHeight="1">
      <x:c r="A35" s="3" t="s">
        <x:v>317</x:v>
      </x:c>
      <x:c r="B35" s="1"/>
      <x:c r="C35" s="1"/>
      <x:c r="D35" s="1"/>
      <x:c r="E35" s="1"/>
      <x:c r="F35" s="1"/>
      <x:c r="G35" s="1"/>
      <x:c r="H35" s="1"/>
      <x:c r="I35" s="1"/>
    </x:row>
    <x:row r="36" ht="25.049999237060547" customHeight="1">
      <x:c r="A36" s="45" t="str">
        <x:v>La compilación y pruebas backend no acreditan por sí solas revisión de PR, prueba visual ni entrega académica.</x:v>
      </x:c>
      <x:c r="B36" s="1"/>
      <x:c r="C36" s="1"/>
      <x:c r="D36" s="1"/>
      <x:c r="E36" s="1"/>
      <x:c r="F36" s="1"/>
      <x:c r="G36" s="1"/>
      <x:c r="H36" s="1"/>
      <x:c r="I36" s="1"/>
    </x:row>
    <x:row r="37" ht="25.049999237060547" customHeight="1">
      <x:c r="A37" s="1"/>
      <x:c r="B37" s="1"/>
      <x:c r="C37" s="1"/>
      <x:c r="D37" s="1"/>
      <x:c r="E37" s="1"/>
      <x:c r="F37" s="1"/>
      <x:c r="G37" s="1"/>
      <x:c r="H37" s="1"/>
      <x:c r="I37" s="1"/>
    </x:row>
    <x:row r="38" ht="25.049999237060547" customHeight="1">
      <x:c r="A38" s="15" t="s">
        <x:v>318</x:v>
      </x:c>
      <x:c r="B38" s="1"/>
      <x:c r="C38" s="1"/>
      <x:c r="D38" s="1"/>
      <x:c r="E38" s="1"/>
      <x:c r="F38" s="1"/>
      <x:c r="G38" s="1"/>
      <x:c r="H38" s="1"/>
      <x:c r="I38" s="1"/>
    </x:row>
    <x:row r="39" ht="25.049999237060547" customHeight="1">
      <x:c r="A39" s="1"/>
      <x:c r="B39" s="1"/>
      <x:c r="C39" s="1"/>
      <x:c r="D39" s="1"/>
      <x:c r="E39" s="1"/>
      <x:c r="F39" s="1"/>
      <x:c r="G39" s="1"/>
      <x:c r="H39" s="1"/>
      <x:c r="I39" s="1"/>
    </x:row>
    <x:row r="40" ht="25.049999237060547" customHeight="1">
      <x:c r="A40" s="1" t="s">
        <x:v>92</x:v>
      </x:c>
      <x:c r="B40" s="1" t="s">
        <x:v>319</x:v>
      </x:c>
      <x:c r="C40" s="1"/>
      <x:c r="D40" s="1"/>
      <x:c r="E40" s="1"/>
      <x:c r="F40" s="1"/>
      <x:c r="G40" s="1"/>
      <x:c r="H40" s="1"/>
      <x:c r="I40" s="1"/>
    </x:row>
    <x:row r="41" ht="25.049999237060547" customHeight="1">
      <x:c r="A41" s="1" t="s">
        <x:v>320</x:v>
      </x:c>
      <x:c r="B41" s="1" t="str">
        <x:v>README.md: estado actualizado de autenticación, Free y Storage en la rama revisada.</x:v>
      </x:c>
      <x:c r="C41" s="1"/>
      <x:c r="D41" s="1"/>
      <x:c r="E41" s="1"/>
      <x:c r="F41" s="1"/>
      <x:c r="G41" s="1"/>
      <x:c r="H41" s="1"/>
      <x:c r="I41" s="1"/>
    </x:row>
    <x:row r="42" ht="25.049999237060547" customHeight="1">
      <x:c r="A42" s="1" t="s">
        <x:v>186</x:v>
      </x:c>
      <x:c r="B42" s="1" t="s">
        <x:v>321</x:v>
      </x:c>
      <x:c r="C42" s="1"/>
      <x:c r="D42" s="1"/>
      <x:c r="E42" s="1"/>
      <x:c r="F42" s="1"/>
      <x:c r="G42" s="1"/>
      <x:c r="H42" s="1"/>
      <x:c r="I42" s="1"/>
    </x:row>
    <x:row r="43" ht="25.049999237060547" customHeight="1">
      <x:c r="A43" s="1" t="s">
        <x:v>214</x:v>
      </x:c>
      <x:c r="B43" s="1" t="s">
        <x:v>322</x:v>
      </x:c>
      <x:c r="C43" s="1"/>
      <x:c r="D43" s="1"/>
      <x:c r="E43" s="1"/>
      <x:c r="F43" s="1"/>
      <x:c r="G43" s="1"/>
      <x:c r="H43" s="1"/>
      <x:c r="I43" s="1"/>
    </x:row>
    <x:row r="44" ht="25.049999237060547" customHeight="1">
      <x:c r="A44" s="1" t="s">
        <x:v>323</x:v>
      </x:c>
      <x:c r="B44" s="1" t="str">
        <x:v>docs/verificacion.md: pruebas históricas del 23/09; contiene pendientes antiguos de Auth. Resultado actual en F11.</x:v>
      </x:c>
      <x:c r="C44" s="1"/>
      <x:c r="D44" s="1"/>
      <x:c r="E44" s="1"/>
      <x:c r="F44" s="1"/>
      <x:c r="G44" s="1"/>
      <x:c r="H44" s="1"/>
      <x:c r="I44" s="1"/>
    </x:row>
    <x:row r="45" ht="25.049999237060547" customHeight="1">
      <x:c r="A45" s="1" t="s">
        <x:v>324</x:v>
      </x:c>
      <x:c r="B45" s="1" t="s">
        <x:v>325</x:v>
      </x:c>
      <x:c r="C45" s="1"/>
      <x:c r="D45" s="1"/>
      <x:c r="E45" s="1"/>
      <x:c r="F45" s="1"/>
      <x:c r="G45" s="1"/>
      <x:c r="H45" s="1"/>
      <x:c r="I45" s="1"/>
    </x:row>
    <x:row r="46" ht="25.049999237060547" customHeight="1">
      <x:c r="A46" s="1" t="s">
        <x:v>326</x:v>
      </x:c>
      <x:c r="B46" s="1" t="s">
        <x:v>327</x:v>
      </x:c>
      <x:c r="C46" s="1"/>
      <x:c r="D46" s="1"/>
      <x:c r="E46" s="1"/>
      <x:c r="F46" s="1"/>
      <x:c r="G46" s="1"/>
      <x:c r="H46" s="1"/>
      <x:c r="I46" s="1"/>
    </x:row>
    <x:row r="47" ht="25.049999237060547" customHeight="1">
      <x:c r="A47" s="1" t="s">
        <x:v>328</x:v>
      </x:c>
      <x:c r="B47" s="1" t="s">
        <x:v>329</x:v>
      </x:c>
      <x:c r="C47" s="1"/>
      <x:c r="D47" s="1"/>
      <x:c r="E47" s="1"/>
      <x:c r="F47" s="1"/>
      <x:c r="G47" s="1"/>
      <x:c r="H47" s="1"/>
      <x:c r="I47" s="1"/>
    </x:row>
    <x:row r="48" ht="25.049999237060547" customHeight="1">
      <x:c r="A48" s="1" t="s">
        <x:v>330</x:v>
      </x:c>
      <x:c r="B48" s="1" t="s">
        <x:v>331</x:v>
      </x:c>
      <x:c r="C48" s="1"/>
      <x:c r="D48" s="1"/>
      <x:c r="E48" s="1"/>
      <x:c r="F48" s="1"/>
      <x:c r="G48" s="1"/>
      <x:c r="H48" s="1"/>
      <x:c r="I48" s="1"/>
    </x:row>
    <x:row r="49" ht="25.049999237060547" customHeight="1">
      <x:c r="A49" s="1" t="s">
        <x:v>332</x:v>
      </x:c>
      <x:c r="B49" s="1" t="s">
        <x:v>333</x:v>
      </x:c>
      <x:c r="C49" s="1"/>
      <x:c r="D49" s="1"/>
      <x:c r="E49" s="1"/>
      <x:c r="F49" s="1"/>
      <x:c r="G49" s="1"/>
      <x:c r="H49" s="1"/>
      <x:c r="I49" s="1"/>
    </x:row>
    <x:row r="50" ht="25" customHeight="1">
      <x:c r="A50" s="45" t="str">
        <x:v>F10</x:v>
      </x:c>
      <x:c r="B50" s="45" t="str">
        <x:v>Git consultado 25/09/2026: origin/tema-y-flujo-git @ a560a45; main @ 3ab55ae. La integración frontend entró en 9c29060.</x:v>
      </x:c>
      <x:c r="C50" s="45"/>
      <x:c r="D50" s="45"/>
      <x:c r="E50" s="45"/>
      <x:c r="F50" s="45"/>
      <x:c r="G50" s="45"/>
      <x:c r="H50" s="45"/>
      <x:c r="I50" s="45"/>
    </x:row>
    <x:row r="51" ht="25" customHeight="1">
      <x:c r="A51" s="45" t="str">
        <x:v>F11</x:v>
      </x:c>
      <x:c r="B51" s="45" t="str">
        <x:v>Verificación 25/09: npm run check pasa; npm run test:storage: 44 aprobadas, 0 fallidas, 0 omitidas con PostgreSQL en base temporal, luego eliminada.</x:v>
      </x:c>
      <x:c r="C51" s="45"/>
      <x:c r="D51" s="45"/>
      <x:c r="E51" s="45"/>
      <x:c r="F51" s="45"/>
      <x:c r="G51" s="45"/>
      <x:c r="H51" s="45"/>
      <x:c r="I51" s="45"/>
    </x:row>
    <x:row r="52" ht="25" customHeight="1">
      <x:c r="A52" s="45" t="str">
        <x:v>F12</x:v>
      </x:c>
      <x:c r="B52" s="45" t="str">
        <x:v>docs/frontend-handoff.md y docs/auth-frontend.md: contratos y guía histórica redactada antes de 9c29060. Para el estado actual de interfaz, ver F14.</x:v>
      </x:c>
      <x:c r="C52" s="45"/>
      <x:c r="D52" s="45"/>
      <x:c r="E52" s="45"/>
      <x:c r="F52" s="45"/>
      <x:c r="G52" s="45"/>
      <x:c r="H52" s="45"/>
      <x:c r="I52" s="45"/>
    </x:row>
    <x:row r="53" ht="25" customHeight="1">
      <x:c r="A53" s="45" t="str">
        <x:v>F13</x:v>
      </x:c>
      <x:c r="B53" s="45" t="str">
        <x:v>Excel de origen recuperado de origin/main @ 3ab55ae. Se conservaron los cambios manuales en estados, responsables, fechas y alcance.</x:v>
      </x:c>
      <x:c r="C53" s="45"/>
      <x:c r="D53" s="45"/>
      <x:c r="E53" s="45"/>
      <x:c r="F53" s="45"/>
      <x:c r="G53" s="45"/>
      <x:c r="H53" s="45"/>
      <x:c r="I53" s="45"/>
    </x:row>
    <x:row r="54" ht="25" customHeight="1">
      <x:c r="A54" s="45" t="str">
        <x:v>F14</x:v>
      </x:c>
      <x:c r="B54" s="45" t="str">
        <x:v>9c29060 (frontend integrado), a560a45 (enlaces de arranque); frontend/src/features/auth, storage, app y services/api.js. npm run check y 44 pruebas backend aprobadas.</x:v>
      </x:c>
      <x:c r="C54" s="45"/>
      <x:c r="D54" s="45"/>
      <x:c r="E54" s="45"/>
      <x:c r="F54" s="45"/>
      <x:c r="G54" s="45"/>
      <x:c r="H54" s="45"/>
      <x:c r="I54" s="45"/>
    </x:row>
    <x:row r="55" ht="25" customHeight="1">
      <x:c r="A55" s="45" t="str">
        <x:v>F15</x:v>
      </x:c>
      <x:c r="B55" s="45" t="str">
        <x:v>Documentación reportada lista por el equipo. El repositorio aún tiene pendientes antiguos en docs/avance-30.md y docs/verificacion.md y no contiene archivos de diagramas localizables.</x:v>
      </x:c>
      <x:c r="C55" s="45"/>
      <x:c r="D55" s="45"/>
      <x:c r="E55" s="45"/>
      <x:c r="F55" s="45"/>
      <x:c r="G55" s="45"/>
      <x:c r="H55" s="45"/>
      <x:c r="I55" s="45"/>
    </x:row>
  </x:sheetData>
  <x:pageMargins left="0.7" right="0.7" top="0.75" bottom="0.75" header="0.3" footer="0.3"/>
</x:worksheet>
</file>