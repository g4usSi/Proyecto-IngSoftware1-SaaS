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358d94fa6a196a1/Escritorio/Ing Software I/Proyecto _IngSoftware1/outputs/01a0cfab-4c8d-7651-a6d0-ce24a10fe047/"/>
    </mc:Choice>
  </mc:AlternateContent>
  <xr:revisionPtr revIDLastSave="22" documentId="11_3EC443660CEC894E94129B6F595EC17C78BEAEB9" xr6:coauthVersionLast="47" xr6:coauthVersionMax="47" xr10:uidLastSave="{7F8E7F3D-A419-4DFA-BF0D-8C1BF6277413}"/>
  <bookViews>
    <workbookView xWindow="-108" yWindow="-108" windowWidth="23256" windowHeight="12456" activeTab="2" xr2:uid="{00000000-000D-0000-FFFF-FFFF00000000}"/>
  </bookViews>
  <sheets>
    <sheet name="Gantt" sheetId="1" r:id="rId1"/>
    <sheet name="Detalle 30%" sheetId="2" r:id="rId2"/>
    <sheet name="Tareas" sheetId="3" r:id="rId3"/>
    <sheet name="Entregas y equip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4" l="1"/>
  <c r="I9" i="4"/>
  <c r="E21" i="4"/>
  <c r="E20" i="4"/>
  <c r="E19" i="4"/>
  <c r="E18" i="4"/>
  <c r="I13" i="4"/>
  <c r="H13" i="4"/>
  <c r="I12" i="4"/>
  <c r="H12" i="4"/>
  <c r="I11" i="4"/>
  <c r="H11" i="4"/>
  <c r="I10" i="4"/>
  <c r="H10" i="4"/>
  <c r="H9" i="4"/>
  <c r="H8" i="4"/>
  <c r="N63" i="3"/>
  <c r="O63" i="3" s="1"/>
  <c r="I63" i="3"/>
  <c r="N62" i="3"/>
  <c r="O62" i="3" s="1"/>
  <c r="I62" i="3"/>
  <c r="N61" i="3"/>
  <c r="O61" i="3" s="1"/>
  <c r="I61" i="3"/>
  <c r="N60" i="3"/>
  <c r="O60" i="3" s="1"/>
  <c r="I60" i="3"/>
  <c r="N59" i="3"/>
  <c r="O59" i="3" s="1"/>
  <c r="I59" i="3"/>
  <c r="N58" i="3"/>
  <c r="O58" i="3" s="1"/>
  <c r="I58" i="3"/>
  <c r="N57" i="3"/>
  <c r="O57" i="3" s="1"/>
  <c r="I57" i="3"/>
  <c r="N56" i="3"/>
  <c r="O56" i="3" s="1"/>
  <c r="I56" i="3"/>
  <c r="N55" i="3"/>
  <c r="O55" i="3" s="1"/>
  <c r="I55" i="3"/>
  <c r="N54" i="3"/>
  <c r="O54" i="3" s="1"/>
  <c r="I54" i="3"/>
  <c r="N53" i="3"/>
  <c r="O53" i="3" s="1"/>
  <c r="I53" i="3"/>
  <c r="N52" i="3"/>
  <c r="O52" i="3" s="1"/>
  <c r="I52" i="3"/>
  <c r="N51" i="3"/>
  <c r="O51" i="3" s="1"/>
  <c r="I51" i="3"/>
  <c r="N50" i="3"/>
  <c r="O50" i="3" s="1"/>
  <c r="I50" i="3"/>
  <c r="N49" i="3"/>
  <c r="O49" i="3" s="1"/>
  <c r="I49" i="3"/>
  <c r="N48" i="3"/>
  <c r="O48" i="3" s="1"/>
  <c r="I48" i="3"/>
  <c r="N47" i="3"/>
  <c r="O47" i="3" s="1"/>
  <c r="I47" i="3"/>
  <c r="N46" i="3"/>
  <c r="O46" i="3" s="1"/>
  <c r="I46" i="3"/>
  <c r="N45" i="3"/>
  <c r="O45" i="3" s="1"/>
  <c r="I45" i="3"/>
  <c r="N44" i="3"/>
  <c r="O44" i="3" s="1"/>
  <c r="I44" i="3"/>
  <c r="N43" i="3"/>
  <c r="O43" i="3" s="1"/>
  <c r="I43" i="3"/>
  <c r="N42" i="3"/>
  <c r="O42" i="3" s="1"/>
  <c r="I42" i="3"/>
  <c r="N41" i="3"/>
  <c r="O41" i="3" s="1"/>
  <c r="I41" i="3"/>
  <c r="N40" i="3"/>
  <c r="O40" i="3" s="1"/>
  <c r="I40" i="3"/>
  <c r="N39" i="3"/>
  <c r="O39" i="3" s="1"/>
  <c r="I39" i="3"/>
  <c r="N38" i="3"/>
  <c r="O38" i="3" s="1"/>
  <c r="I38" i="3"/>
  <c r="N37" i="3"/>
  <c r="O37" i="3" s="1"/>
  <c r="I37" i="3"/>
  <c r="N36" i="3"/>
  <c r="O36" i="3" s="1"/>
  <c r="I36" i="3"/>
  <c r="N35" i="3"/>
  <c r="O35" i="3" s="1"/>
  <c r="I35" i="3"/>
  <c r="N34" i="3"/>
  <c r="O34" i="3" s="1"/>
  <c r="I34" i="3"/>
  <c r="N33" i="3"/>
  <c r="O33" i="3" s="1"/>
  <c r="I33" i="3"/>
  <c r="N32" i="3"/>
  <c r="O32" i="3" s="1"/>
  <c r="I32" i="3"/>
  <c r="N31" i="3"/>
  <c r="O31" i="3" s="1"/>
  <c r="I31" i="3"/>
  <c r="N30" i="3"/>
  <c r="O30" i="3" s="1"/>
  <c r="I30" i="3"/>
  <c r="N29" i="3"/>
  <c r="O29" i="3" s="1"/>
  <c r="I29" i="3"/>
  <c r="N28" i="3"/>
  <c r="O28" i="3" s="1"/>
  <c r="I28" i="3"/>
  <c r="N27" i="3"/>
  <c r="O27" i="3" s="1"/>
  <c r="I27" i="3"/>
  <c r="N26" i="3"/>
  <c r="O26" i="3" s="1"/>
  <c r="I26" i="3"/>
  <c r="N25" i="3"/>
  <c r="O25" i="3" s="1"/>
  <c r="I25" i="3"/>
  <c r="N24" i="3"/>
  <c r="O24" i="3" s="1"/>
  <c r="I24" i="3"/>
  <c r="N23" i="3"/>
  <c r="O23" i="3" s="1"/>
  <c r="I23" i="3"/>
  <c r="N22" i="3"/>
  <c r="O22" i="3" s="1"/>
  <c r="I22" i="3"/>
  <c r="N21" i="3"/>
  <c r="O21" i="3" s="1"/>
  <c r="I21" i="3"/>
  <c r="N20" i="3"/>
  <c r="O20" i="3" s="1"/>
  <c r="I20" i="3"/>
  <c r="N19" i="3"/>
  <c r="O19" i="3" s="1"/>
  <c r="I19" i="3"/>
  <c r="O18" i="3"/>
  <c r="I18" i="3"/>
  <c r="N17" i="3"/>
  <c r="O17" i="3" s="1"/>
  <c r="I17" i="3"/>
  <c r="N16" i="3"/>
  <c r="O16" i="3" s="1"/>
  <c r="I16" i="3"/>
  <c r="N15" i="3"/>
  <c r="O15" i="3" s="1"/>
  <c r="I15" i="3"/>
  <c r="N14" i="3"/>
  <c r="O14" i="3" s="1"/>
  <c r="I14" i="3"/>
  <c r="N13" i="3"/>
  <c r="O13" i="3" s="1"/>
  <c r="I13" i="3"/>
  <c r="N12" i="3"/>
  <c r="O12" i="3" s="1"/>
  <c r="I12" i="3"/>
  <c r="N11" i="3"/>
  <c r="O11" i="3" s="1"/>
  <c r="I11" i="3"/>
  <c r="N10" i="3"/>
  <c r="O10" i="3" s="1"/>
  <c r="I10" i="3"/>
  <c r="N9" i="3"/>
  <c r="O9" i="3" s="1"/>
  <c r="I9" i="3"/>
  <c r="O8" i="3"/>
  <c r="I8" i="3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69" i="1"/>
  <c r="E69" i="1"/>
  <c r="D69" i="1"/>
  <c r="C69" i="1"/>
  <c r="B69" i="1"/>
  <c r="F68" i="1"/>
  <c r="E68" i="1"/>
  <c r="D68" i="1"/>
  <c r="C68" i="1"/>
  <c r="B68" i="1"/>
  <c r="F67" i="1"/>
  <c r="E67" i="1"/>
  <c r="D67" i="1"/>
  <c r="C67" i="1"/>
  <c r="B67" i="1"/>
  <c r="F66" i="1"/>
  <c r="E66" i="1"/>
  <c r="D66" i="1"/>
  <c r="C66" i="1"/>
  <c r="B66" i="1"/>
  <c r="F65" i="1"/>
  <c r="E65" i="1"/>
  <c r="D65" i="1"/>
  <c r="C65" i="1"/>
  <c r="B65" i="1"/>
  <c r="F64" i="1"/>
  <c r="E64" i="1"/>
  <c r="D64" i="1"/>
  <c r="C64" i="1"/>
  <c r="B64" i="1"/>
  <c r="F63" i="1"/>
  <c r="E63" i="1"/>
  <c r="D63" i="1"/>
  <c r="C63" i="1"/>
  <c r="B63" i="1"/>
  <c r="F62" i="1"/>
  <c r="E62" i="1"/>
  <c r="D62" i="1"/>
  <c r="C62" i="1"/>
  <c r="B62" i="1"/>
  <c r="M61" i="1"/>
  <c r="L61" i="1"/>
  <c r="K61" i="1"/>
  <c r="J61" i="1"/>
  <c r="I61" i="1"/>
  <c r="F61" i="1"/>
  <c r="E61" i="1"/>
  <c r="D61" i="1"/>
  <c r="N61" i="1" s="1"/>
  <c r="C61" i="1"/>
  <c r="B61" i="1"/>
  <c r="A61" i="1"/>
  <c r="F60" i="1"/>
  <c r="E60" i="1"/>
  <c r="D60" i="1"/>
  <c r="C60" i="1"/>
  <c r="B60" i="1"/>
  <c r="F59" i="1"/>
  <c r="E59" i="1"/>
  <c r="D59" i="1"/>
  <c r="C59" i="1"/>
  <c r="B59" i="1"/>
  <c r="F58" i="1"/>
  <c r="E58" i="1"/>
  <c r="D58" i="1"/>
  <c r="C58" i="1"/>
  <c r="B58" i="1"/>
  <c r="F57" i="1"/>
  <c r="E57" i="1"/>
  <c r="D57" i="1"/>
  <c r="C57" i="1"/>
  <c r="B57" i="1"/>
  <c r="F56" i="1"/>
  <c r="E56" i="1"/>
  <c r="D56" i="1"/>
  <c r="C56" i="1"/>
  <c r="B56" i="1"/>
  <c r="F55" i="1"/>
  <c r="E55" i="1"/>
  <c r="D55" i="1"/>
  <c r="C55" i="1"/>
  <c r="B55" i="1"/>
  <c r="F54" i="1"/>
  <c r="E54" i="1"/>
  <c r="D54" i="1"/>
  <c r="C54" i="1"/>
  <c r="B54" i="1"/>
  <c r="F53" i="1"/>
  <c r="E53" i="1"/>
  <c r="D53" i="1"/>
  <c r="C53" i="1"/>
  <c r="B53" i="1"/>
  <c r="F52" i="1"/>
  <c r="E52" i="1"/>
  <c r="D52" i="1"/>
  <c r="C52" i="1"/>
  <c r="B52" i="1"/>
  <c r="F51" i="1"/>
  <c r="E51" i="1"/>
  <c r="D51" i="1"/>
  <c r="C51" i="1"/>
  <c r="B51" i="1"/>
  <c r="O50" i="1"/>
  <c r="N50" i="1"/>
  <c r="J50" i="1"/>
  <c r="G50" i="1"/>
  <c r="F50" i="1"/>
  <c r="E50" i="1"/>
  <c r="D50" i="1"/>
  <c r="C50" i="1"/>
  <c r="B50" i="1"/>
  <c r="A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N37" i="1" s="1"/>
  <c r="D37" i="1"/>
  <c r="C37" i="1"/>
  <c r="B37" i="1"/>
  <c r="A37" i="1"/>
  <c r="F36" i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M20" i="1"/>
  <c r="L20" i="1"/>
  <c r="F20" i="1"/>
  <c r="E20" i="1"/>
  <c r="D20" i="1"/>
  <c r="O20" i="1" s="1"/>
  <c r="C20" i="1"/>
  <c r="B20" i="1"/>
  <c r="A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J13" i="1" s="1"/>
  <c r="D13" i="1"/>
  <c r="C13" i="1"/>
  <c r="B13" i="1"/>
  <c r="A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K8" i="1"/>
  <c r="F8" i="1"/>
  <c r="E8" i="1"/>
  <c r="J8" i="1" s="1"/>
  <c r="D8" i="1"/>
  <c r="N8" i="1" s="1"/>
  <c r="C8" i="1"/>
  <c r="B8" i="1"/>
  <c r="A8" i="1"/>
  <c r="L25" i="1" l="1"/>
  <c r="I68" i="1"/>
  <c r="M22" i="2"/>
  <c r="I17" i="1"/>
  <c r="O34" i="1"/>
  <c r="L59" i="1"/>
  <c r="I63" i="1"/>
  <c r="K55" i="1"/>
  <c r="M22" i="1"/>
  <c r="O47" i="1"/>
  <c r="N54" i="1"/>
  <c r="K25" i="1"/>
  <c r="M33" i="1"/>
  <c r="K18" i="2"/>
  <c r="H35" i="1"/>
  <c r="K38" i="1"/>
  <c r="N46" i="1"/>
  <c r="N53" i="1"/>
  <c r="N29" i="1"/>
  <c r="H32" i="1"/>
  <c r="M25" i="1"/>
  <c r="J60" i="1"/>
  <c r="L16" i="2"/>
  <c r="L10" i="1"/>
  <c r="J21" i="1"/>
  <c r="H33" i="1"/>
  <c r="N49" i="1"/>
  <c r="O69" i="1"/>
  <c r="O19" i="1"/>
  <c r="O40" i="1"/>
  <c r="H48" i="1"/>
  <c r="L44" i="1"/>
  <c r="L9" i="1"/>
  <c r="M16" i="1"/>
  <c r="N28" i="1"/>
  <c r="P19" i="2"/>
  <c r="L18" i="1"/>
  <c r="J21" i="2"/>
  <c r="H25" i="1"/>
  <c r="M26" i="1"/>
  <c r="N31" i="1"/>
  <c r="J54" i="1"/>
  <c r="K23" i="1"/>
  <c r="L48" i="1"/>
  <c r="S19" i="2"/>
  <c r="P15" i="1"/>
  <c r="M36" i="1"/>
  <c r="N42" i="1"/>
  <c r="O15" i="2"/>
  <c r="Q18" i="2"/>
  <c r="J22" i="1"/>
  <c r="N55" i="1"/>
  <c r="O58" i="1"/>
  <c r="T14" i="2"/>
  <c r="N17" i="2"/>
  <c r="H20" i="2"/>
  <c r="M14" i="1"/>
  <c r="O54" i="1"/>
  <c r="O60" i="1"/>
  <c r="I62" i="1"/>
  <c r="T16" i="2"/>
  <c r="R22" i="2"/>
  <c r="K22" i="1"/>
  <c r="N24" i="1"/>
  <c r="G25" i="1"/>
  <c r="M29" i="1"/>
  <c r="K33" i="1"/>
  <c r="O35" i="1"/>
  <c r="O36" i="1"/>
  <c r="P43" i="1"/>
  <c r="K48" i="1"/>
  <c r="L55" i="1"/>
  <c r="Q63" i="1"/>
  <c r="Q17" i="2"/>
  <c r="O22" i="2"/>
  <c r="G46" i="1"/>
  <c r="G52" i="1"/>
  <c r="M53" i="1"/>
  <c r="N60" i="1"/>
  <c r="I69" i="1"/>
  <c r="T9" i="2"/>
  <c r="T15" i="2"/>
  <c r="L16" i="1"/>
  <c r="O39" i="1"/>
  <c r="I17" i="2"/>
  <c r="L26" i="1"/>
  <c r="L15" i="1"/>
  <c r="K12" i="1"/>
  <c r="M28" i="1"/>
  <c r="G35" i="1"/>
  <c r="P42" i="1"/>
  <c r="G55" i="1"/>
  <c r="M59" i="1"/>
  <c r="G60" i="1"/>
  <c r="L65" i="1"/>
  <c r="N11" i="2"/>
  <c r="I16" i="2"/>
  <c r="K19" i="2"/>
  <c r="P20" i="2"/>
  <c r="G15" i="1"/>
  <c r="L39" i="1"/>
  <c r="L15" i="2"/>
  <c r="L19" i="1"/>
  <c r="K14" i="1"/>
  <c r="H15" i="1"/>
  <c r="L30" i="1"/>
  <c r="M39" i="1"/>
  <c r="K44" i="1"/>
  <c r="N48" i="1"/>
  <c r="P49" i="1"/>
  <c r="N51" i="1"/>
  <c r="K64" i="1"/>
  <c r="J14" i="2"/>
  <c r="N18" i="2"/>
  <c r="M11" i="1"/>
  <c r="I15" i="1"/>
  <c r="M17" i="1"/>
  <c r="H22" i="1"/>
  <c r="G33" i="1"/>
  <c r="N38" i="1"/>
  <c r="N39" i="1"/>
  <c r="O41" i="1"/>
  <c r="N47" i="1"/>
  <c r="J55" i="1"/>
  <c r="P10" i="2"/>
  <c r="O14" i="2"/>
  <c r="H19" i="2"/>
  <c r="J9" i="1"/>
  <c r="O31" i="1"/>
  <c r="O64" i="1"/>
  <c r="K9" i="1"/>
  <c r="K15" i="1"/>
  <c r="J18" i="1"/>
  <c r="L22" i="1"/>
  <c r="L23" i="1"/>
  <c r="H30" i="1"/>
  <c r="L33" i="1"/>
  <c r="N34" i="1"/>
  <c r="L35" i="1"/>
  <c r="N36" i="1"/>
  <c r="G41" i="1"/>
  <c r="M44" i="1"/>
  <c r="P44" i="1"/>
  <c r="P47" i="1"/>
  <c r="M48" i="1"/>
  <c r="O49" i="1"/>
  <c r="J51" i="1"/>
  <c r="M55" i="1"/>
  <c r="K63" i="1"/>
  <c r="Q10" i="2"/>
  <c r="R14" i="2"/>
  <c r="Q16" i="2"/>
  <c r="O11" i="1"/>
  <c r="G14" i="1"/>
  <c r="H16" i="1"/>
  <c r="P22" i="1"/>
  <c r="N25" i="1"/>
  <c r="H28" i="1"/>
  <c r="K30" i="1"/>
  <c r="K31" i="1"/>
  <c r="M35" i="1"/>
  <c r="G42" i="1"/>
  <c r="P48" i="1"/>
  <c r="K51" i="1"/>
  <c r="G57" i="1"/>
  <c r="L63" i="1"/>
  <c r="I64" i="1"/>
  <c r="I67" i="1"/>
  <c r="S18" i="2"/>
  <c r="T22" i="2"/>
  <c r="O44" i="1"/>
  <c r="O68" i="1"/>
  <c r="I16" i="1"/>
  <c r="K18" i="1"/>
  <c r="N63" i="1"/>
  <c r="L64" i="1"/>
  <c r="I9" i="2"/>
  <c r="K10" i="2"/>
  <c r="H11" i="2"/>
  <c r="Q14" i="1"/>
  <c r="M34" i="1"/>
  <c r="K28" i="1"/>
  <c r="L42" i="1"/>
  <c r="G47" i="1"/>
  <c r="O10" i="1"/>
  <c r="I14" i="1"/>
  <c r="J15" i="1"/>
  <c r="Q15" i="1"/>
  <c r="K16" i="1"/>
  <c r="G26" i="1"/>
  <c r="P30" i="1"/>
  <c r="N33" i="1"/>
  <c r="G39" i="1"/>
  <c r="M40" i="1"/>
  <c r="M41" i="1"/>
  <c r="M42" i="1"/>
  <c r="O43" i="1"/>
  <c r="H44" i="1"/>
  <c r="H47" i="1"/>
  <c r="M51" i="1"/>
  <c r="N64" i="1"/>
  <c r="N9" i="2"/>
  <c r="N10" i="2"/>
  <c r="K11" i="2"/>
  <c r="M14" i="2"/>
  <c r="G30" i="1"/>
  <c r="H14" i="1"/>
  <c r="L31" i="1"/>
  <c r="L41" i="1"/>
  <c r="G43" i="1"/>
  <c r="G44" i="1"/>
  <c r="L51" i="1"/>
  <c r="K17" i="1"/>
  <c r="G22" i="1"/>
  <c r="N23" i="1"/>
  <c r="L24" i="1"/>
  <c r="N30" i="1"/>
  <c r="M38" i="1"/>
  <c r="K39" i="1"/>
  <c r="J44" i="1"/>
  <c r="O46" i="1"/>
  <c r="J47" i="1"/>
  <c r="G48" i="1"/>
  <c r="G53" i="1"/>
  <c r="G59" i="1"/>
  <c r="Q9" i="2"/>
  <c r="S10" i="2"/>
  <c r="P11" i="2"/>
  <c r="T17" i="2"/>
  <c r="P18" i="2"/>
  <c r="N19" i="2"/>
  <c r="I21" i="2"/>
  <c r="G22" i="2"/>
  <c r="P14" i="1"/>
  <c r="O14" i="1"/>
  <c r="Q16" i="1"/>
  <c r="N32" i="1"/>
  <c r="G51" i="1"/>
  <c r="S11" i="2"/>
  <c r="P13" i="2"/>
  <c r="G14" i="2"/>
  <c r="J22" i="2"/>
  <c r="J27" i="1"/>
  <c r="Q27" i="1"/>
  <c r="I27" i="1"/>
  <c r="N13" i="1"/>
  <c r="P56" i="1"/>
  <c r="H56" i="1"/>
  <c r="Q56" i="1"/>
  <c r="I56" i="1"/>
  <c r="M56" i="1"/>
  <c r="L56" i="1"/>
  <c r="K56" i="1"/>
  <c r="O13" i="1"/>
  <c r="O24" i="1"/>
  <c r="M13" i="2"/>
  <c r="J13" i="2"/>
  <c r="M8" i="1"/>
  <c r="M9" i="1"/>
  <c r="K10" i="1"/>
  <c r="N10" i="1"/>
  <c r="G12" i="1"/>
  <c r="P12" i="1"/>
  <c r="G13" i="1"/>
  <c r="P13" i="1"/>
  <c r="L17" i="1"/>
  <c r="M18" i="1"/>
  <c r="J19" i="1"/>
  <c r="N19" i="1"/>
  <c r="Q20" i="1"/>
  <c r="I20" i="1"/>
  <c r="N20" i="1"/>
  <c r="G21" i="1"/>
  <c r="P21" i="1"/>
  <c r="M23" i="1"/>
  <c r="P24" i="1"/>
  <c r="N26" i="1"/>
  <c r="G27" i="1"/>
  <c r="L28" i="1"/>
  <c r="J29" i="1"/>
  <c r="Q29" i="1"/>
  <c r="I29" i="1"/>
  <c r="O29" i="1"/>
  <c r="M31" i="1"/>
  <c r="P32" i="1"/>
  <c r="G37" i="1"/>
  <c r="O38" i="1"/>
  <c r="N41" i="1"/>
  <c r="Q43" i="1"/>
  <c r="I43" i="1"/>
  <c r="M43" i="1"/>
  <c r="L43" i="1"/>
  <c r="K43" i="1"/>
  <c r="P46" i="1"/>
  <c r="P52" i="1"/>
  <c r="H52" i="1"/>
  <c r="Q52" i="1"/>
  <c r="I52" i="1"/>
  <c r="M52" i="1"/>
  <c r="L52" i="1"/>
  <c r="K52" i="1"/>
  <c r="G56" i="1"/>
  <c r="N59" i="1"/>
  <c r="O62" i="1"/>
  <c r="G62" i="1"/>
  <c r="P62" i="1"/>
  <c r="H62" i="1"/>
  <c r="L62" i="1"/>
  <c r="K62" i="1"/>
  <c r="J62" i="1"/>
  <c r="O67" i="1"/>
  <c r="S12" i="2"/>
  <c r="R23" i="2"/>
  <c r="J23" i="2"/>
  <c r="Q23" i="2"/>
  <c r="I23" i="2"/>
  <c r="P23" i="2"/>
  <c r="H23" i="2"/>
  <c r="N23" i="2"/>
  <c r="M23" i="2"/>
  <c r="S23" i="2"/>
  <c r="K23" i="2"/>
  <c r="T23" i="2"/>
  <c r="O23" i="2"/>
  <c r="N21" i="1"/>
  <c r="K11" i="1"/>
  <c r="M19" i="1"/>
  <c r="O21" i="1"/>
  <c r="N9" i="1"/>
  <c r="G11" i="1"/>
  <c r="Q12" i="1"/>
  <c r="Q13" i="1"/>
  <c r="N18" i="1"/>
  <c r="O26" i="1"/>
  <c r="P29" i="1"/>
  <c r="K36" i="1"/>
  <c r="J36" i="1"/>
  <c r="Q36" i="1"/>
  <c r="I36" i="1"/>
  <c r="P36" i="1"/>
  <c r="G40" i="1"/>
  <c r="P58" i="1"/>
  <c r="H58" i="1"/>
  <c r="Q58" i="1"/>
  <c r="I58" i="1"/>
  <c r="M58" i="1"/>
  <c r="L58" i="1"/>
  <c r="K58" i="1"/>
  <c r="K66" i="1"/>
  <c r="Q66" i="1"/>
  <c r="L66" i="1"/>
  <c r="Q12" i="2"/>
  <c r="I12" i="2"/>
  <c r="M12" i="2"/>
  <c r="H12" i="2"/>
  <c r="O8" i="1"/>
  <c r="O9" i="1"/>
  <c r="H11" i="1"/>
  <c r="Q11" i="1"/>
  <c r="I12" i="1"/>
  <c r="J17" i="1"/>
  <c r="N17" i="1"/>
  <c r="O18" i="1"/>
  <c r="P19" i="1"/>
  <c r="P20" i="1"/>
  <c r="J23" i="1"/>
  <c r="Q23" i="1"/>
  <c r="I23" i="1"/>
  <c r="O23" i="1"/>
  <c r="H24" i="1"/>
  <c r="P26" i="1"/>
  <c r="L37" i="1"/>
  <c r="K40" i="1"/>
  <c r="Q49" i="1"/>
  <c r="I49" i="1"/>
  <c r="J49" i="1"/>
  <c r="K49" i="1"/>
  <c r="H49" i="1"/>
  <c r="G49" i="1"/>
  <c r="N56" i="1"/>
  <c r="K57" i="1"/>
  <c r="K65" i="1"/>
  <c r="Q65" i="1"/>
  <c r="N65" i="1"/>
  <c r="O66" i="1"/>
  <c r="Q21" i="1"/>
  <c r="I21" i="1"/>
  <c r="O27" i="1"/>
  <c r="L8" i="1"/>
  <c r="N11" i="1"/>
  <c r="J32" i="1"/>
  <c r="Q32" i="1"/>
  <c r="I32" i="1"/>
  <c r="Q45" i="1"/>
  <c r="I45" i="1"/>
  <c r="H45" i="1"/>
  <c r="P45" i="1"/>
  <c r="G45" i="1"/>
  <c r="O45" i="1"/>
  <c r="Q67" i="1"/>
  <c r="L67" i="1"/>
  <c r="P11" i="1"/>
  <c r="G24" i="1"/>
  <c r="K34" i="1"/>
  <c r="J34" i="1"/>
  <c r="Q34" i="1"/>
  <c r="I34" i="1"/>
  <c r="P34" i="1"/>
  <c r="K37" i="1"/>
  <c r="O8" i="2"/>
  <c r="G8" i="2"/>
  <c r="N8" i="2"/>
  <c r="M8" i="2"/>
  <c r="S8" i="2"/>
  <c r="K8" i="2"/>
  <c r="R8" i="2"/>
  <c r="J8" i="2"/>
  <c r="P8" i="2"/>
  <c r="H8" i="2"/>
  <c r="T8" i="2"/>
  <c r="Q8" i="2"/>
  <c r="L8" i="2"/>
  <c r="G8" i="1"/>
  <c r="P10" i="1"/>
  <c r="J31" i="1"/>
  <c r="Q31" i="1"/>
  <c r="I31" i="1"/>
  <c r="H8" i="1"/>
  <c r="P9" i="1"/>
  <c r="I11" i="1"/>
  <c r="J12" i="1"/>
  <c r="K13" i="1"/>
  <c r="L14" i="1"/>
  <c r="M15" i="1"/>
  <c r="J16" i="1"/>
  <c r="N16" i="1"/>
  <c r="O17" i="1"/>
  <c r="G18" i="1"/>
  <c r="P18" i="1"/>
  <c r="H19" i="1"/>
  <c r="Q19" i="1"/>
  <c r="H20" i="1"/>
  <c r="K21" i="1"/>
  <c r="P23" i="1"/>
  <c r="K24" i="1"/>
  <c r="L27" i="1"/>
  <c r="J28" i="1"/>
  <c r="Q28" i="1"/>
  <c r="I28" i="1"/>
  <c r="O28" i="1"/>
  <c r="H29" i="1"/>
  <c r="M30" i="1"/>
  <c r="P31" i="1"/>
  <c r="K32" i="1"/>
  <c r="G34" i="1"/>
  <c r="N35" i="1"/>
  <c r="G36" i="1"/>
  <c r="M37" i="1"/>
  <c r="G38" i="1"/>
  <c r="L40" i="1"/>
  <c r="O42" i="1"/>
  <c r="H43" i="1"/>
  <c r="L45" i="1"/>
  <c r="J52" i="1"/>
  <c r="J53" i="1"/>
  <c r="P54" i="1"/>
  <c r="H54" i="1"/>
  <c r="Q54" i="1"/>
  <c r="I54" i="1"/>
  <c r="M54" i="1"/>
  <c r="L54" i="1"/>
  <c r="K54" i="1"/>
  <c r="O56" i="1"/>
  <c r="L57" i="1"/>
  <c r="G58" i="1"/>
  <c r="M62" i="1"/>
  <c r="O65" i="1"/>
  <c r="Q69" i="1"/>
  <c r="L69" i="1"/>
  <c r="P12" i="2"/>
  <c r="M20" i="2"/>
  <c r="M21" i="2"/>
  <c r="G23" i="2"/>
  <c r="O12" i="1"/>
  <c r="H12" i="1"/>
  <c r="H21" i="1"/>
  <c r="J26" i="1"/>
  <c r="Q26" i="1"/>
  <c r="I26" i="1"/>
  <c r="H27" i="1"/>
  <c r="G32" i="1"/>
  <c r="Q46" i="1"/>
  <c r="I46" i="1"/>
  <c r="K46" i="1"/>
  <c r="J46" i="1"/>
  <c r="H46" i="1"/>
  <c r="P8" i="1"/>
  <c r="H10" i="1"/>
  <c r="N15" i="1"/>
  <c r="O16" i="1"/>
  <c r="G17" i="1"/>
  <c r="P17" i="1"/>
  <c r="H18" i="1"/>
  <c r="Q18" i="1"/>
  <c r="I19" i="1"/>
  <c r="J20" i="1"/>
  <c r="L21" i="1"/>
  <c r="Q22" i="1"/>
  <c r="I22" i="1"/>
  <c r="N22" i="1"/>
  <c r="G23" i="1"/>
  <c r="J25" i="1"/>
  <c r="Q25" i="1"/>
  <c r="I25" i="1"/>
  <c r="O25" i="1"/>
  <c r="H26" i="1"/>
  <c r="M27" i="1"/>
  <c r="P28" i="1"/>
  <c r="K29" i="1"/>
  <c r="G31" i="1"/>
  <c r="L32" i="1"/>
  <c r="J33" i="1"/>
  <c r="Q33" i="1"/>
  <c r="I33" i="1"/>
  <c r="O33" i="1"/>
  <c r="H34" i="1"/>
  <c r="H36" i="1"/>
  <c r="J39" i="1"/>
  <c r="Q39" i="1"/>
  <c r="I39" i="1"/>
  <c r="P39" i="1"/>
  <c r="H39" i="1"/>
  <c r="J43" i="1"/>
  <c r="M45" i="1"/>
  <c r="L46" i="1"/>
  <c r="Q47" i="1"/>
  <c r="I47" i="1"/>
  <c r="M47" i="1"/>
  <c r="L47" i="1"/>
  <c r="K47" i="1"/>
  <c r="L49" i="1"/>
  <c r="N52" i="1"/>
  <c r="K53" i="1"/>
  <c r="M57" i="1"/>
  <c r="J58" i="1"/>
  <c r="J59" i="1"/>
  <c r="P60" i="1"/>
  <c r="H60" i="1"/>
  <c r="Q60" i="1"/>
  <c r="I60" i="1"/>
  <c r="M60" i="1"/>
  <c r="L60" i="1"/>
  <c r="K60" i="1"/>
  <c r="N62" i="1"/>
  <c r="I66" i="1"/>
  <c r="I8" i="2"/>
  <c r="R21" i="2"/>
  <c r="L23" i="2"/>
  <c r="N12" i="1"/>
  <c r="J37" i="1"/>
  <c r="Q37" i="1"/>
  <c r="I37" i="1"/>
  <c r="P37" i="1"/>
  <c r="H37" i="1"/>
  <c r="M10" i="1"/>
  <c r="J24" i="1"/>
  <c r="Q24" i="1"/>
  <c r="I24" i="1"/>
  <c r="P27" i="1"/>
  <c r="O32" i="1"/>
  <c r="J40" i="1"/>
  <c r="Q40" i="1"/>
  <c r="I40" i="1"/>
  <c r="P40" i="1"/>
  <c r="H40" i="1"/>
  <c r="H13" i="1"/>
  <c r="J38" i="1"/>
  <c r="Q38" i="1"/>
  <c r="I38" i="1"/>
  <c r="P38" i="1"/>
  <c r="H38" i="1"/>
  <c r="J45" i="1"/>
  <c r="J56" i="1"/>
  <c r="J57" i="1"/>
  <c r="R13" i="2"/>
  <c r="G9" i="1"/>
  <c r="G10" i="1"/>
  <c r="I13" i="1"/>
  <c r="G19" i="1"/>
  <c r="G20" i="1"/>
  <c r="K27" i="1"/>
  <c r="G29" i="1"/>
  <c r="J41" i="1"/>
  <c r="Q41" i="1"/>
  <c r="I41" i="1"/>
  <c r="P41" i="1"/>
  <c r="H41" i="1"/>
  <c r="K45" i="1"/>
  <c r="H9" i="1"/>
  <c r="Q10" i="1"/>
  <c r="I8" i="1"/>
  <c r="Q8" i="1"/>
  <c r="I9" i="1"/>
  <c r="Q9" i="1"/>
  <c r="I10" i="1"/>
  <c r="J11" i="1"/>
  <c r="L12" i="1"/>
  <c r="L13" i="1"/>
  <c r="J10" i="1"/>
  <c r="L11" i="1"/>
  <c r="M12" i="1"/>
  <c r="M13" i="1"/>
  <c r="J14" i="1"/>
  <c r="N14" i="1"/>
  <c r="O15" i="1"/>
  <c r="G16" i="1"/>
  <c r="P16" i="1"/>
  <c r="H17" i="1"/>
  <c r="Q17" i="1"/>
  <c r="I18" i="1"/>
  <c r="K19" i="1"/>
  <c r="K20" i="1"/>
  <c r="M21" i="1"/>
  <c r="O22" i="1"/>
  <c r="H23" i="1"/>
  <c r="M24" i="1"/>
  <c r="P25" i="1"/>
  <c r="K26" i="1"/>
  <c r="N27" i="1"/>
  <c r="G28" i="1"/>
  <c r="L29" i="1"/>
  <c r="J30" i="1"/>
  <c r="Q30" i="1"/>
  <c r="I30" i="1"/>
  <c r="O30" i="1"/>
  <c r="H31" i="1"/>
  <c r="M32" i="1"/>
  <c r="P33" i="1"/>
  <c r="L34" i="1"/>
  <c r="K35" i="1"/>
  <c r="J35" i="1"/>
  <c r="Q35" i="1"/>
  <c r="I35" i="1"/>
  <c r="P35" i="1"/>
  <c r="L36" i="1"/>
  <c r="O37" i="1"/>
  <c r="L38" i="1"/>
  <c r="N40" i="1"/>
  <c r="K41" i="1"/>
  <c r="Q42" i="1"/>
  <c r="I42" i="1"/>
  <c r="K42" i="1"/>
  <c r="J42" i="1"/>
  <c r="H42" i="1"/>
  <c r="N43" i="1"/>
  <c r="N45" i="1"/>
  <c r="M46" i="1"/>
  <c r="M49" i="1"/>
  <c r="P50" i="1"/>
  <c r="H50" i="1"/>
  <c r="Q50" i="1"/>
  <c r="I50" i="1"/>
  <c r="M50" i="1"/>
  <c r="L50" i="1"/>
  <c r="K50" i="1"/>
  <c r="O52" i="1"/>
  <c r="L53" i="1"/>
  <c r="G54" i="1"/>
  <c r="N57" i="1"/>
  <c r="N58" i="1"/>
  <c r="K59" i="1"/>
  <c r="Q62" i="1"/>
  <c r="I65" i="1"/>
  <c r="Q68" i="1"/>
  <c r="L68" i="1"/>
  <c r="R15" i="2"/>
  <c r="J15" i="2"/>
  <c r="Q15" i="2"/>
  <c r="I15" i="2"/>
  <c r="P15" i="2"/>
  <c r="H15" i="2"/>
  <c r="N15" i="2"/>
  <c r="M15" i="2"/>
  <c r="S15" i="2"/>
  <c r="K15" i="2"/>
  <c r="G15" i="2"/>
  <c r="P51" i="1"/>
  <c r="H51" i="1"/>
  <c r="Q51" i="1"/>
  <c r="I51" i="1"/>
  <c r="O51" i="1"/>
  <c r="P53" i="1"/>
  <c r="H53" i="1"/>
  <c r="Q53" i="1"/>
  <c r="I53" i="1"/>
  <c r="O53" i="1"/>
  <c r="P55" i="1"/>
  <c r="H55" i="1"/>
  <c r="Q55" i="1"/>
  <c r="I55" i="1"/>
  <c r="O55" i="1"/>
  <c r="P57" i="1"/>
  <c r="H57" i="1"/>
  <c r="Q57" i="1"/>
  <c r="I57" i="1"/>
  <c r="O57" i="1"/>
  <c r="P59" i="1"/>
  <c r="H59" i="1"/>
  <c r="Q59" i="1"/>
  <c r="I59" i="1"/>
  <c r="O59" i="1"/>
  <c r="Q64" i="1"/>
  <c r="O16" i="2"/>
  <c r="G16" i="2"/>
  <c r="N16" i="2"/>
  <c r="M16" i="2"/>
  <c r="S16" i="2"/>
  <c r="K16" i="2"/>
  <c r="R16" i="2"/>
  <c r="J16" i="2"/>
  <c r="P16" i="2"/>
  <c r="H16" i="2"/>
  <c r="Q44" i="1"/>
  <c r="I44" i="1"/>
  <c r="N44" i="1"/>
  <c r="Q48" i="1"/>
  <c r="I48" i="1"/>
  <c r="J48" i="1"/>
  <c r="O48" i="1"/>
  <c r="O61" i="1"/>
  <c r="G61" i="1"/>
  <c r="P61" i="1"/>
  <c r="H61" i="1"/>
  <c r="Q61" i="1"/>
  <c r="O63" i="1"/>
  <c r="S20" i="2"/>
  <c r="P21" i="2"/>
  <c r="H63" i="1"/>
  <c r="P63" i="1"/>
  <c r="H64" i="1"/>
  <c r="P64" i="1"/>
  <c r="H65" i="1"/>
  <c r="P65" i="1"/>
  <c r="H66" i="1"/>
  <c r="P66" i="1"/>
  <c r="H67" i="1"/>
  <c r="P67" i="1"/>
  <c r="H68" i="1"/>
  <c r="P68" i="1"/>
  <c r="H69" i="1"/>
  <c r="P69" i="1"/>
  <c r="M9" i="2"/>
  <c r="J10" i="2"/>
  <c r="R10" i="2"/>
  <c r="G11" i="2"/>
  <c r="O11" i="2"/>
  <c r="L12" i="2"/>
  <c r="T12" i="2"/>
  <c r="I13" i="2"/>
  <c r="Q13" i="2"/>
  <c r="N14" i="2"/>
  <c r="M17" i="2"/>
  <c r="J18" i="2"/>
  <c r="R18" i="2"/>
  <c r="G19" i="2"/>
  <c r="O19" i="2"/>
  <c r="L20" i="2"/>
  <c r="T20" i="2"/>
  <c r="Q21" i="2"/>
  <c r="N22" i="2"/>
  <c r="J63" i="1"/>
  <c r="J64" i="1"/>
  <c r="J65" i="1"/>
  <c r="J66" i="1"/>
  <c r="J67" i="1"/>
  <c r="J68" i="1"/>
  <c r="J69" i="1"/>
  <c r="G9" i="2"/>
  <c r="O9" i="2"/>
  <c r="L10" i="2"/>
  <c r="T10" i="2"/>
  <c r="I11" i="2"/>
  <c r="Q11" i="2"/>
  <c r="N12" i="2"/>
  <c r="K13" i="2"/>
  <c r="S13" i="2"/>
  <c r="H14" i="2"/>
  <c r="P14" i="2"/>
  <c r="G17" i="2"/>
  <c r="O17" i="2"/>
  <c r="L18" i="2"/>
  <c r="T18" i="2"/>
  <c r="I19" i="2"/>
  <c r="Q19" i="2"/>
  <c r="N20" i="2"/>
  <c r="K21" i="2"/>
  <c r="S21" i="2"/>
  <c r="H22" i="2"/>
  <c r="P22" i="2"/>
  <c r="K67" i="1"/>
  <c r="K68" i="1"/>
  <c r="K69" i="1"/>
  <c r="H9" i="2"/>
  <c r="P9" i="2"/>
  <c r="M10" i="2"/>
  <c r="J11" i="2"/>
  <c r="R11" i="2"/>
  <c r="G12" i="2"/>
  <c r="O12" i="2"/>
  <c r="L13" i="2"/>
  <c r="T13" i="2"/>
  <c r="I14" i="2"/>
  <c r="Q14" i="2"/>
  <c r="H17" i="2"/>
  <c r="P17" i="2"/>
  <c r="M18" i="2"/>
  <c r="J19" i="2"/>
  <c r="R19" i="2"/>
  <c r="G20" i="2"/>
  <c r="O20" i="2"/>
  <c r="L21" i="2"/>
  <c r="T21" i="2"/>
  <c r="I22" i="2"/>
  <c r="Q22" i="2"/>
  <c r="M63" i="1"/>
  <c r="M64" i="1"/>
  <c r="M65" i="1"/>
  <c r="M66" i="1"/>
  <c r="M67" i="1"/>
  <c r="M68" i="1"/>
  <c r="M69" i="1"/>
  <c r="J9" i="2"/>
  <c r="R9" i="2"/>
  <c r="G10" i="2"/>
  <c r="O10" i="2"/>
  <c r="L11" i="2"/>
  <c r="T11" i="2"/>
  <c r="N13" i="2"/>
  <c r="K14" i="2"/>
  <c r="S14" i="2"/>
  <c r="J17" i="2"/>
  <c r="R17" i="2"/>
  <c r="G18" i="2"/>
  <c r="O18" i="2"/>
  <c r="L19" i="2"/>
  <c r="T19" i="2"/>
  <c r="I20" i="2"/>
  <c r="Q20" i="2"/>
  <c r="N21" i="2"/>
  <c r="K22" i="2"/>
  <c r="S22" i="2"/>
  <c r="N66" i="1"/>
  <c r="N67" i="1"/>
  <c r="N68" i="1"/>
  <c r="N69" i="1"/>
  <c r="K9" i="2"/>
  <c r="S9" i="2"/>
  <c r="H10" i="2"/>
  <c r="M11" i="2"/>
  <c r="J12" i="2"/>
  <c r="R12" i="2"/>
  <c r="G13" i="2"/>
  <c r="O13" i="2"/>
  <c r="L14" i="2"/>
  <c r="K17" i="2"/>
  <c r="S17" i="2"/>
  <c r="H18" i="2"/>
  <c r="M19" i="2"/>
  <c r="J20" i="2"/>
  <c r="R20" i="2"/>
  <c r="G21" i="2"/>
  <c r="O21" i="2"/>
  <c r="L22" i="2"/>
  <c r="G63" i="1"/>
  <c r="G64" i="1"/>
  <c r="G65" i="1"/>
  <c r="G66" i="1"/>
  <c r="G67" i="1"/>
  <c r="G68" i="1"/>
  <c r="G69" i="1"/>
  <c r="L9" i="2"/>
  <c r="I10" i="2"/>
  <c r="K12" i="2"/>
  <c r="H13" i="2"/>
  <c r="L17" i="2"/>
  <c r="I18" i="2"/>
  <c r="K20" i="2"/>
  <c r="H21" i="2"/>
</calcChain>
</file>

<file path=xl/sharedStrings.xml><?xml version="1.0" encoding="utf-8"?>
<sst xmlns="http://schemas.openxmlformats.org/spreadsheetml/2006/main" count="777" uniqueCount="355">
  <si>
    <t>SmartStorage — Diagrama de Gantt</t>
  </si>
  <si>
    <t>Agosto–noviembre de 2026. Cada columna representa una semana que inicia el lunes; las barras muestran fechas planificadas.</t>
  </si>
  <si>
    <t>Azul: propuesta y diseño. Verde: avances funcionales. Naranja: cierre. H: semana de entrega. Editar fechas en Tareas.</t>
  </si>
  <si>
    <t>Ver “Detalle 30%” para el calendario diario del primer avance. El color de una barra no indica tarea terminada.</t>
  </si>
  <si>
    <t>Los alcances de 50%, 80% y cierre son una propuesta. La fecha final del 06/11 queda pendiente de confirmación.</t>
  </si>
  <si>
    <t>ID / hito</t>
  </si>
  <si>
    <t>Actividad</t>
  </si>
  <si>
    <t>Responsable</t>
  </si>
  <si>
    <t>Inicio</t>
  </si>
  <si>
    <t>Fin</t>
  </si>
  <si>
    <t>Estado reportado</t>
  </si>
  <si>
    <t>S0-01</t>
  </si>
  <si>
    <t>S0-02</t>
  </si>
  <si>
    <t>S0-03</t>
  </si>
  <si>
    <t>S0-04</t>
  </si>
  <si>
    <t>S1-01</t>
  </si>
  <si>
    <t>S1-02</t>
  </si>
  <si>
    <t>S1-03</t>
  </si>
  <si>
    <t>S1-04</t>
  </si>
  <si>
    <t>S1-05</t>
  </si>
  <si>
    <t>S1-06</t>
  </si>
  <si>
    <t>S2-01</t>
  </si>
  <si>
    <t>S2-02</t>
  </si>
  <si>
    <t>S2-03</t>
  </si>
  <si>
    <t>S2-04</t>
  </si>
  <si>
    <t>S2-05</t>
  </si>
  <si>
    <t>S2-06</t>
  </si>
  <si>
    <t>S2-07</t>
  </si>
  <si>
    <t>S2-08</t>
  </si>
  <si>
    <t>S2-09</t>
  </si>
  <si>
    <t>S2-10</t>
  </si>
  <si>
    <t>S2-11</t>
  </si>
  <si>
    <t>S2-12</t>
  </si>
  <si>
    <t>S2-13</t>
  </si>
  <si>
    <t>S2-14</t>
  </si>
  <si>
    <t>S2-15</t>
  </si>
  <si>
    <t>S2-16</t>
  </si>
  <si>
    <t>S3-01</t>
  </si>
  <si>
    <t>S3-02</t>
  </si>
  <si>
    <t>S3-03</t>
  </si>
  <si>
    <t>S3-04</t>
  </si>
  <si>
    <t>S3-05</t>
  </si>
  <si>
    <t>S3-06</t>
  </si>
  <si>
    <t>S3-07</t>
  </si>
  <si>
    <t>S3-08</t>
  </si>
  <si>
    <t>S3-09</t>
  </si>
  <si>
    <t>S3-10</t>
  </si>
  <si>
    <t>S3-11</t>
  </si>
  <si>
    <t>S3-12</t>
  </si>
  <si>
    <t>S4-01</t>
  </si>
  <si>
    <t>S4-02</t>
  </si>
  <si>
    <t>S4-03</t>
  </si>
  <si>
    <t>S4-04</t>
  </si>
  <si>
    <t>S4-05</t>
  </si>
  <si>
    <t>S4-06</t>
  </si>
  <si>
    <t>S4-07</t>
  </si>
  <si>
    <t>S4-08</t>
  </si>
  <si>
    <t>S4-09</t>
  </si>
  <si>
    <t>S4-10</t>
  </si>
  <si>
    <t>S5-01</t>
  </si>
  <si>
    <t>S5-02</t>
  </si>
  <si>
    <t>S5-03</t>
  </si>
  <si>
    <t>S5-04</t>
  </si>
  <si>
    <t>S5-05</t>
  </si>
  <si>
    <t>S5-06</t>
  </si>
  <si>
    <t>S5-07</t>
  </si>
  <si>
    <t>S5-08</t>
  </si>
  <si>
    <t>SmartStorage — Cierre del avance del 30%</t>
  </si>
  <si>
    <t>Vista diaria del sprint 2: 12–25 de septiembre. La base se verificó; las funciones figuran pendientes en los documentos.</t>
  </si>
  <si>
    <t>Cierre propuesto del 23 al 25/09. Rojo en la cabecera: día de entrega. Las fechas dependen de la disponibilidad del equipo.</t>
  </si>
  <si>
    <t>Orden: registro y Free → autenticación y límites → carga WebP → pantallas y ahorro → pruebas con dos cuentas.</t>
  </si>
  <si>
    <t>Cambiar estado y adjuntar evidencia en Tareas; completar el recorrido de aceptación antes de declarar alcanzado el 30%.</t>
  </si>
  <si>
    <t>ID</t>
  </si>
  <si>
    <t>SmartStorage — Plan detallado de tareas</t>
  </si>
  <si>
    <t>Edita responsables, fechas, estado y evidencia. Los dos Gantt se actualizan por ID; conserva los identificadores.</t>
  </si>
  <si>
    <t>Fechas internas propuestas. Días calendario inclusivos; no representan horas ni dedicación exclusiva.</t>
  </si>
  <si>
    <t>Hecha requiere prueba local, revisión por un compañero y evidencia. Base verificada solo acredita el esqueleto.</t>
  </si>
  <si>
    <t>Ámbar: campos de seguimiento editables. Dependencias en la misma fecha requieren ejecución secuencial durante ese día.</t>
  </si>
  <si>
    <t>Hito</t>
  </si>
  <si>
    <t>Área</t>
  </si>
  <si>
    <t>Apoyo / coordinación</t>
  </si>
  <si>
    <t>Inicio propuesto</t>
  </si>
  <si>
    <t>Fin propuesto</t>
  </si>
  <si>
    <t>Días calendario</t>
  </si>
  <si>
    <t>Predecesoras</t>
  </si>
  <si>
    <t>Criterio de aceptación</t>
  </si>
  <si>
    <t>Evidencia / PR</t>
  </si>
  <si>
    <t>Fin de predecesoras</t>
  </si>
  <si>
    <t>Margen mínimo (d)</t>
  </si>
  <si>
    <t>Fuente</t>
  </si>
  <si>
    <t>S0</t>
  </si>
  <si>
    <t>Coordinación</t>
  </si>
  <si>
    <t>Definir equipo y organización</t>
  </si>
  <si>
    <t>Equipo</t>
  </si>
  <si>
    <t>Todos</t>
  </si>
  <si>
    <t>—</t>
  </si>
  <si>
    <t>Por confirmar</t>
  </si>
  <si>
    <t>Integrantes y responsabilidades documentados.</t>
  </si>
  <si>
    <t>F1</t>
  </si>
  <si>
    <t>Propuesta</t>
  </si>
  <si>
    <t>Definir problema, solución y alcance</t>
  </si>
  <si>
    <t>Propuesta Storage as a Service y alcance redactados.</t>
  </si>
  <si>
    <t>Planificación</t>
  </si>
  <si>
    <t>Preparar metodología y cronograma</t>
  </si>
  <si>
    <t>Scrum ligero, tablero Kanban e hitos acordados.</t>
  </si>
  <si>
    <t>Entrega</t>
  </si>
  <si>
    <t>Revisar y entregar propuesta</t>
  </si>
  <si>
    <t>S0-02, S0-03</t>
  </si>
  <si>
    <t>Documento revisado y constancia de entrega disponible.</t>
  </si>
  <si>
    <t>S1</t>
  </si>
  <si>
    <t>Requisitos</t>
  </si>
  <si>
    <t>Detallar requisitos de usuarios</t>
  </si>
  <si>
    <t>Andy</t>
  </si>
  <si>
    <t>Diego</t>
  </si>
  <si>
    <t>Registro, acceso, verificación, recuperación y roles descritos.</t>
  </si>
  <si>
    <t>F1 + P1</t>
  </si>
  <si>
    <t>Detallar requisitos de Storage</t>
  </si>
  <si>
    <t>Geovanny</t>
  </si>
  <si>
    <t>Carga, formatos, deduplicación y permisos definidos.</t>
  </si>
  <si>
    <t>Detallar planes y pagos simulados</t>
  </si>
  <si>
    <t>Elden</t>
  </si>
  <si>
    <t>Catálogo, capacidades, suscripciones e historial especificados.</t>
  </si>
  <si>
    <t>Diseño</t>
  </si>
  <si>
    <t>Diseñar pantallas y navegación</t>
  </si>
  <si>
    <t>Mockups de acceso, biblioteca y planes revisados.</t>
  </si>
  <si>
    <t>Consolidar modelo de datos y arquitectura</t>
  </si>
  <si>
    <t>S1-01, S1-02, S1-03</t>
  </si>
  <si>
    <t>Modelo relacional y arquitectura por capas consistentes.</t>
  </si>
  <si>
    <t>Revisar requisitos y diseño preliminar</t>
  </si>
  <si>
    <t>S1-04, S1-05</t>
  </si>
  <si>
    <t>Documento y diagramas revisados. Adjuntar constancia de entrega.</t>
  </si>
  <si>
    <t>S2</t>
  </si>
  <si>
    <t>Base técnica</t>
  </si>
  <si>
    <t>Preparar esqueleto y esquema inicial</t>
  </si>
  <si>
    <t>Base verificada</t>
  </si>
  <si>
    <t>React, API, migraciones y catálogo Free ejecutables. No demuestra el 30% funcional.</t>
  </si>
  <si>
    <t>README y verificacion.md: base ejecutable y comprobaciones registradas.</t>
  </si>
  <si>
    <t>F2 + F5</t>
  </si>
  <si>
    <t>Autenticación</t>
  </si>
  <si>
    <t>Implementar registro y hash seguro</t>
  </si>
  <si>
    <t>Pendiente</t>
  </si>
  <si>
    <t>Validar datos y correo único. Guardar hash seguro. El registro público crea solo clientes.</t>
  </si>
  <si>
    <t>F3 + F6</t>
  </si>
  <si>
    <t>Implementar login, JWT y protección</t>
  </si>
  <si>
    <t>Rechazar credenciales inválidas, JWT inválido/expirado y cuentas inactivas. Proteger /auth/me.</t>
  </si>
  <si>
    <t>Suscripciones</t>
  </si>
  <si>
    <t>Revisar catálogo y contrato de Free</t>
  </si>
  <si>
    <t>Free: 2 GB lógicos, 10 subidas y 200 MB diarios. Catálogo leído desde PostgreSQL.</t>
  </si>
  <si>
    <t>F3 + F4</t>
  </si>
  <si>
    <t>Asignar Free al registrar</t>
  </si>
  <si>
    <t>S2-02, S2-04</t>
  </si>
  <si>
    <t>Alta y asignación en una transacción. Una sola suscripción activa. Rollback ante error.</t>
  </si>
  <si>
    <t>Aplicar capacidad y límites diarios</t>
  </si>
  <si>
    <t>Bloquear al exceder 2 GB, 10 subidas o 200 MB diarios. Probar límites y concurrencia.</t>
  </si>
  <si>
    <t>Storage</t>
  </si>
  <si>
    <t>Validar archivo y calcular SHA-256</t>
  </si>
  <si>
    <t>Aceptar JPG/PNG/WebP válidos, máximo 25 MB. Hash de los bytes originales antes de convertir.</t>
  </si>
  <si>
    <t>F3 + F4 + F6</t>
  </si>
  <si>
    <t>Convertir a WebP y limpiar temporales</t>
  </si>
  <si>
    <t>Conservar solo WebP definitivo. Eliminar original temporal al terminar y limpiar al fallar.</t>
  </si>
  <si>
    <t>Integrar carga y deduplicación global</t>
  </si>
  <si>
    <t>Andy y Elden</t>
  </si>
  <si>
    <t>S2-03, S2-06, S2-08</t>
  </si>
  <si>
    <t>Dos cuentas con bytes idénticos referencian un único WebP. Conservar propiedad lógica y cuota.</t>
  </si>
  <si>
    <t>Proteger galería y descarga WebP</t>
  </si>
  <si>
    <t>Listar solo imágenes propias y negar acceso cruzado. Descargar WebP y conservar datos tras reinicio.</t>
  </si>
  <si>
    <t>Frontend</t>
  </si>
  <si>
    <t>Preparar formularios y estados de interfaz</t>
  </si>
  <si>
    <t>Pantallas de registro/login y estados de carga/error acordes al contrato, sin éxito ficticio.</t>
  </si>
  <si>
    <t>F3 + F7</t>
  </si>
  <si>
    <t>Conectar acceso, Free, carga y galería</t>
  </si>
  <si>
    <t>S2-03, S2-05, S2-11</t>
  </si>
  <si>
    <t>Registro → login → carga → galería → descarga con API real. Mensajes claros en errores.</t>
  </si>
  <si>
    <t>F3</t>
  </si>
  <si>
    <t>Administrador</t>
  </si>
  <si>
    <t>Calcular ahorro básico del administrador</t>
  </si>
  <si>
    <t>Solo admin: B−P y porcentaje con originales lógicos y bytes WebP reales. Biblioteca vacía y archivo faltante tratados.</t>
  </si>
  <si>
    <t>Documentación</t>
  </si>
  <si>
    <t>Actualizar requisitos y diagramas</t>
  </si>
  <si>
    <t>Cada responsable</t>
  </si>
  <si>
    <t>Alinear documentación: deduplicación global, solo WebP, ahorro administrativo y esquema incremental.</t>
  </si>
  <si>
    <t>F4</t>
  </si>
  <si>
    <t>Verificación</t>
  </si>
  <si>
    <t>Probar flujo del 30% con dos cuentas</t>
  </si>
  <si>
    <t>S2-10, S2-12, S2-13, S2-14</t>
  </si>
  <si>
    <t>Verificar identidad, Free/límites, carga duplicada, permisos, descarga, ahorro y reinicio. Registrar evidencia.</t>
  </si>
  <si>
    <t>Corregir, revisar PR y presentar 30%</t>
  </si>
  <si>
    <t>Corregir bloqueos, revisión por compañero, ejecución local, demo y constancia de entrega.</t>
  </si>
  <si>
    <t>F1 + F3 + F8</t>
  </si>
  <si>
    <t>S3</t>
  </si>
  <si>
    <t>Implementar verificación de correo</t>
  </si>
  <si>
    <t>Planificada</t>
  </si>
  <si>
    <t>Token de un uso, expiración, correo y estados de interfaz verificados.</t>
  </si>
  <si>
    <t>F1 + F3</t>
  </si>
  <si>
    <t>Recuperar y cambiar contraseña</t>
  </si>
  <si>
    <t>Solicitud neutral, token único, contraseña segura y flujo de recuperación probado.</t>
  </si>
  <si>
    <t>Completar sesiones revocables y logout</t>
  </si>
  <si>
    <t>Revocar sesión en backend y limpiar cliente. Comprobar expiración y acceso después de logout.</t>
  </si>
  <si>
    <t>Implementar Redis, BullMQ y worker Sharp</t>
  </si>
  <si>
    <t>Procesamiento asíncrono real y estados persistentes de trabajo.</t>
  </si>
  <si>
    <t>Añadir reintentos y recuperación de trabajos</t>
  </si>
  <si>
    <t>Recuperar interrupciones, no duplicar objetos y limpiar temporales fallidos o expirados.</t>
  </si>
  <si>
    <t>Implementar borrado con referencias</t>
  </si>
  <si>
    <t>Borrar imagen lógica. Eliminar WebP solo al quitar la última referencia con coordinación transaccional.</t>
  </si>
  <si>
    <t>Crear álbumes y mover imágenes</t>
  </si>
  <si>
    <t>Crear carpetas y mover imágenes propias. Rechazar carpeta o imagen de otra cuenta.</t>
  </si>
  <si>
    <t>Integrar cuotas con trabajos asíncronos</t>
  </si>
  <si>
    <t>Mantener capacidad y límites consistentes con subidas concurrentes y trabajos fallidos.</t>
  </si>
  <si>
    <t>F3 + F4 + P1</t>
  </si>
  <si>
    <t>Integrar cuentas y estados del procesamiento</t>
  </si>
  <si>
    <t>Andy y Geovanny</t>
  </si>
  <si>
    <t>Integrar correo, recuperación, logout y estados reales de carga/procesamiento.</t>
  </si>
  <si>
    <t>F3 + P1</t>
  </si>
  <si>
    <t>Integrar álbumes y borrado</t>
  </si>
  <si>
    <t>S3-07, S3-09</t>
  </si>
  <si>
    <t>Organizar y borrar imágenes desde la interfaz con errores y confirmaciones claras.</t>
  </si>
  <si>
    <t>F1 + F3 + P1</t>
  </si>
  <si>
    <t>Revisar integración y regresión del 50%</t>
  </si>
  <si>
    <t>S3-03, S3-08, S3-10</t>
  </si>
  <si>
    <t>Demostrar seguridad de cuentas, worker/recuperación, borrado y álbumes sin romper el 30%.</t>
  </si>
  <si>
    <t>P1 + F8</t>
  </si>
  <si>
    <t>Corregir y presentar avance del 50%</t>
  </si>
  <si>
    <t>PR revisados, demo funcional y evidencias del avance.</t>
  </si>
  <si>
    <t>S4</t>
  </si>
  <si>
    <t>Confirmar planes pagados y precios</t>
  </si>
  <si>
    <t>Equipo acuerda capacidades, nombres y precios antes de precargar planes pagados.</t>
  </si>
  <si>
    <t>Implementar pagos simulados e historial</t>
  </si>
  <si>
    <t>Registrar resultado de pago simulado, suscripción e historial consistente.</t>
  </si>
  <si>
    <t>Implementar renovación y cambio de plan</t>
  </si>
  <si>
    <t>Definir vigencia, renovación y cambios. Evitar un plan incompatible con consumo sin regla acordada.</t>
  </si>
  <si>
    <t>Completar consultas administrativas</t>
  </si>
  <si>
    <t>Consultas autorizadas de objetos únicos, consumo y ahorro calculado, sin métricas redundantes persistidas.</t>
  </si>
  <si>
    <t>Seguridad</t>
  </si>
  <si>
    <t>Verificar roles y acceso a administración</t>
  </si>
  <si>
    <t>Cliente sin acceso a operaciones admin. Pruebas de acceso cruzado y sesiones revocadas.</t>
  </si>
  <si>
    <t>F1 + F4</t>
  </si>
  <si>
    <t>Integrar planes, pagos e historial</t>
  </si>
  <si>
    <t>Contratar, consultar historial, renovar y cambiar plan con datos reales y pagos simulados.</t>
  </si>
  <si>
    <t>Integrar panel de administrador</t>
  </si>
  <si>
    <t>S4-04, S4-05, S4-06</t>
  </si>
  <si>
    <t>Mostrar consumo y ahorro calculado con autorización y estados vacío/error.</t>
  </si>
  <si>
    <t>Probar cuotas y consumo al cambiar de plan</t>
  </si>
  <si>
    <t>No perder imágenes ni inconsistir la capacidad ante renovación o cambio de plan.</t>
  </si>
  <si>
    <t>F1 + F4 + P1</t>
  </si>
  <si>
    <t>Ejecutar regresión y revisión visual del 80%</t>
  </si>
  <si>
    <t>S4-05, S4-07, S4-08</t>
  </si>
  <si>
    <t>Recorrido completo, seguridad, pruebas de límites y revisión móvil/escritorio.</t>
  </si>
  <si>
    <t>P1 + F7 + F8</t>
  </si>
  <si>
    <t>Corregir y presentar avance del 80%</t>
  </si>
  <si>
    <t>Código integrado y revisado, demo y evidencia de la entrega.</t>
  </si>
  <si>
    <t>S5</t>
  </si>
  <si>
    <t>Cerrar documentación de usuarios y seguridad</t>
  </si>
  <si>
    <t>Requisitos, API y manual de acceso actualizados al comportamiento real.</t>
  </si>
  <si>
    <t>Documentar planes, pagos y reglas de negocio</t>
  </si>
  <si>
    <t>Catálogo final, pagos simulados, vigencias y cambios de plan documentados.</t>
  </si>
  <si>
    <t>Demo técnica</t>
  </si>
  <si>
    <t>Preparar demo SDK/API si se confirma alcance</t>
  </si>
  <si>
    <t>Confirmar inclusión. Si aplica, ejemplo autenticado de consulta/descarga por ID, sin acceso por hash.</t>
  </si>
  <si>
    <t>Pulir interfaz y preparar presentación</t>
  </si>
  <si>
    <t>Interfaz consistente, foco y móvil revisados. Diapositivas y recorrido de demo preparados.</t>
  </si>
  <si>
    <t>F1 + F7 + P1</t>
  </si>
  <si>
    <t>Ejecutar pruebas integrales y corregir defectos</t>
  </si>
  <si>
    <t>S5-01, S5-02, S5-03</t>
  </si>
  <si>
    <t>Verificar todos los recorridos, concurrencia, persistencia, reinicio y limpieza. Resolver bloqueos.</t>
  </si>
  <si>
    <t>F1 + F8 + P1</t>
  </si>
  <si>
    <t>Preparación</t>
  </si>
  <si>
    <t>Preparar entorno reproducible de demostración</t>
  </si>
  <si>
    <t>Instalación desde README, migraciones y servicios reproducibles. Datos de demo sin secretos en Git.</t>
  </si>
  <si>
    <t>F2 + F8 + P1</t>
  </si>
  <si>
    <t>Exposición</t>
  </si>
  <si>
    <t>Ensayar exposición y cerrar paquete final</t>
  </si>
  <si>
    <t>S5-04, S5-06</t>
  </si>
  <si>
    <t>Cada integrante presenta su módulo. Revisar tiempos, evidencias, documentos y demo de respaldo.</t>
  </si>
  <si>
    <t>Entregar y exponer proyecto final</t>
  </si>
  <si>
    <t>Entrega final y exposición según fecha confirmada por el curso. 06/11 es tentativo.</t>
  </si>
  <si>
    <t>F1 + F9</t>
  </si>
  <si>
    <t>SmartStorage — Entregas y equipo</t>
  </si>
  <si>
    <t>Fecha de revisión:</t>
  </si>
  <si>
    <t>30%, 50% y 80% son metas de entrega; no son porcentajes medidos de implementación.</t>
  </si>
  <si>
    <t>06/11/2026 es tentativo. El documento fija únicamente la primera semana de noviembre.</t>
  </si>
  <si>
    <t>Inicio de sprint</t>
  </si>
  <si>
    <t>Fecha límite</t>
  </si>
  <si>
    <t>Meta acumulada</t>
  </si>
  <si>
    <t>Alcance de la entrega</t>
  </si>
  <si>
    <t>Origen de la fecha</t>
  </si>
  <si>
    <t>Tareas del plan</t>
  </si>
  <si>
    <t>Hechas con evidencia</t>
  </si>
  <si>
    <t>Coordinación y propuesta</t>
  </si>
  <si>
    <t>Equipo, propuesta, alcance y cronograma.</t>
  </si>
  <si>
    <t>Fecha del documento</t>
  </si>
  <si>
    <t>Requisitos y diseño preliminar</t>
  </si>
  <si>
    <t>Requisitos, diagramas, arquitectura y mockups.</t>
  </si>
  <si>
    <t>Avance funcional 1 (30%)</t>
  </si>
  <si>
    <t>Registro, login, Free, límites, WebP, deduplicación, galería, descarga y ahorro básico de administrador.</t>
  </si>
  <si>
    <t>Avance funcional 2 (50%)</t>
  </si>
  <si>
    <t>Propuesta: seguridad de cuentas, sesiones revocables, worker, reintentos, borrado y álbumes.</t>
  </si>
  <si>
    <t>Avance funcional 3 (80%)</t>
  </si>
  <si>
    <t>Propuesta: pagos simulados, historial, renovación, cambios de plan y panel administrador.</t>
  </si>
  <si>
    <t>Entrega final y exposiciones</t>
  </si>
  <si>
    <t>Propuesta: estabilización, documentación, demo técnica y exposición.</t>
  </si>
  <si>
    <t>06/11 tentativo (imagen)</t>
  </si>
  <si>
    <t>Responsabilidades del equipo</t>
  </si>
  <si>
    <t>Nombre corto</t>
  </si>
  <si>
    <t>Integrante</t>
  </si>
  <si>
    <t>Carnet</t>
  </si>
  <si>
    <t>Área principal</t>
  </si>
  <si>
    <t>Tareas asignadas</t>
  </si>
  <si>
    <t>Responsabilidad documentada</t>
  </si>
  <si>
    <t>Andy Isaac Monzón Lopez</t>
  </si>
  <si>
    <t>1539522</t>
  </si>
  <si>
    <t>Auth</t>
  </si>
  <si>
    <t>Registro, login, validaciones, JWT, middleware y seguridad de cuentas.</t>
  </si>
  <si>
    <t>Justo Geovanny Alcon Mendoza</t>
  </si>
  <si>
    <t>1578324</t>
  </si>
  <si>
    <t>Carga, hash, WebP, deduplicación, archivos, workers y métricas de almacenamiento.</t>
  </si>
  <si>
    <t>Elden Eduardo Gil Soto</t>
  </si>
  <si>
    <t>1641123</t>
  </si>
  <si>
    <t>Planes</t>
  </si>
  <si>
    <t>Catálogo, Free, límites, suscripciones y pagos simulados.</t>
  </si>
  <si>
    <t>Diego Jose Alegria Oros</t>
  </si>
  <si>
    <t>1631524</t>
  </si>
  <si>
    <t>Tema, componentes, navegación, pantallas e integración del frontend.</t>
  </si>
  <si>
    <t>Criterios del cronograma</t>
  </si>
  <si>
    <t>El reparto de módulos se conserva. “Diego” y “Alegría” corresponden al mismo integrante. No se añade un quinto miembro.</t>
  </si>
  <si>
    <t>S0/S1: descomposición histórica propuesta; la existencia del documento no confirma que se haya entregado o aprobado.</t>
  </si>
  <si>
    <t>S2: alcance del 30% tomado de avance-30.md. La base técnica verificada no equivale al recorrido funcional completo.</t>
  </si>
  <si>
    <t>S2: cierre propuesto del 23 al 25/09. Requiere coordinación el mismo día; la disponibilidad del equipo no está cuantificada.</t>
  </si>
  <si>
    <t>S3/S4/S5: distribución propuesta de los hitos siguientes. Confirmar demo SDK/API y precios antes de implementarlos.</t>
  </si>
  <si>
    <t>Los inicios de sprint y las fechas internas son de planificación. Solo los límites S0–S4 están fechados en el documento.</t>
  </si>
  <si>
    <t>Dependencias: fin→inicio, permitiendo secuencia en el mismo día. No son un cálculo automático de ruta crítica.</t>
  </si>
  <si>
    <t>Weekly: una reunión por semana para avances/bloqueos, más retrospectiva de 10–15 min. Acordar día y hora con el equipo.</t>
  </si>
  <si>
    <t>Antes de cada entrega: demostración interna, pruebas locales y revisión por al menos un compañero.</t>
  </si>
  <si>
    <t>Al actualizar dependencias en J de Tareas, ajustar también la fórmula de N. Para nuevas filas, ampliar Gantt y rangos.</t>
  </si>
  <si>
    <t>Margen mínimo (Tareas, O): menor margen entre duración, límite del hito y predecesoras. Un valor negativo señala conflicto.</t>
  </si>
  <si>
    <t>Fuentes y procedencia</t>
  </si>
  <si>
    <t>Proyecto - Ing. Software.docx: tabla de estudiantes, cronograma, alcance y metodología.</t>
  </si>
  <si>
    <t>F2</t>
  </si>
  <si>
    <t>README.md: estado de la base técnica, decisiones confirmadas y reparto del equipo.</t>
  </si>
  <si>
    <t>docs/avance-30.md: recorrido de aceptación, reparto, orden de integración e hitos siguientes.</t>
  </si>
  <si>
    <t>docs/decisiones.md: decisiones del 21/09/2026. Prevalecen sobre el alcance inicial del DOCX.</t>
  </si>
  <si>
    <t>F5</t>
  </si>
  <si>
    <t>docs/verificacion.md: comprobaciones de la base; no valida funciones todavía pendientes.</t>
  </si>
  <si>
    <t>F6</t>
  </si>
  <si>
    <t>docs/api.md: contratos de integración, formatos, autenticación y operaciones reservadas.</t>
  </si>
  <si>
    <t>F7</t>
  </si>
  <si>
    <t>docs/estilos.md: Diego Alegría coordina presentación, componentes y revisión visual.</t>
  </si>
  <si>
    <t>F8</t>
  </si>
  <si>
    <t>docs/flujo-git.md: ramas por tarea, revisión por compañero y reglas de integración.</t>
  </si>
  <si>
    <t>F9</t>
  </si>
  <si>
    <t>Imagen del Gantt facilitada: fechas finales de los sprints y 06/11 para cierre tentativo.</t>
  </si>
  <si>
    <t>P1</t>
  </si>
  <si>
    <t>Desglose y fechas internas propuestos para organizar las entregas. No representan acuerdos adicionales del equipo.</t>
  </si>
  <si>
    <t>Confirmado</t>
  </si>
  <si>
    <t>Hecha</t>
  </si>
  <si>
    <t>En progreso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</si>
</sst>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dd/mm"/>
    <numFmt numFmtId="166" formatCode=";;;@"/>
    <numFmt numFmtId="167" formatCode=";;;"/>
  </numFmts>
  <fonts count="7">
    <font>
      <sz val="11"/>
      <name val="Carlito"/>
    </font>
    <font>
      <sz val="10"/>
      <color rgb="FF202C3D"/>
      <name val="Arial"/>
    </font>
    <font>
      <b/>
      <sz val="16"/>
      <color rgb="FF263C59"/>
      <name val="Arial"/>
    </font>
    <font>
      <sz val="10"/>
      <color rgb="FF5E6B7D"/>
      <name val="Arial"/>
    </font>
    <font>
      <b/>
      <sz val="10"/>
      <color rgb="FFFFFFFF"/>
      <name val="Arial"/>
    </font>
    <font>
      <b/>
      <sz val="14"/>
      <color rgb="FF202C3D"/>
      <name val="Arial"/>
    </font>
    <font>
      <b/>
      <sz val="10"/>
      <color rgb="FF263C59"/>
      <name val="Arial"/>
    </font>
  </fonts>
  <fills count="7">
    <fill>
      <patternFill patternType="none"/>
    </fill>
    <fill>
      <patternFill patternType="gray125"/>
    </fill>
    <fill>
      <patternFill patternType="solid">
        <fgColor rgb="FF263C59"/>
      </patternFill>
    </fill>
    <fill>
      <patternFill patternType="solid">
        <fgColor rgb="FFFFF2CC"/>
      </patternFill>
    </fill>
    <fill>
      <patternFill patternType="solid">
        <fgColor rgb="FFF3F6FA"/>
      </patternFill>
    </fill>
    <fill>
      <patternFill patternType="solid">
        <fgColor rgb="FFE6ECF5"/>
      </patternFill>
    </fill>
    <fill>
      <patternFill patternType="solid">
        <fgColor rgb="FFB33E35"/>
      </patternFill>
    </fill>
  </fills>
  <borders count="10">
    <border>
      <left/>
      <right/>
      <top/>
      <bottom/>
      <diagonal/>
    </border>
    <border>
      <left/>
      <right style="thin">
        <color rgb="FFE2E8F0"/>
      </right>
      <top/>
      <bottom style="thin">
        <color rgb="FFFFFFFF"/>
      </bottom>
      <diagonal/>
    </border>
    <border>
      <left style="thin">
        <color rgb="FFE2E8F0"/>
      </left>
      <right style="thin">
        <color rgb="FFE2E8F0"/>
      </right>
      <top/>
      <bottom style="thin">
        <color rgb="FFFFFFFF"/>
      </bottom>
      <diagonal/>
    </border>
    <border>
      <left style="thin">
        <color rgb="FFE2E8F0"/>
      </left>
      <right/>
      <top/>
      <bottom style="thin">
        <color rgb="FFFFFFFF"/>
      </bottom>
      <diagonal/>
    </border>
    <border>
      <left/>
      <right style="thin">
        <color rgb="FFE2E8F0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E2E8F0"/>
      </right>
      <top style="thin">
        <color rgb="FFFFFFFF"/>
      </top>
      <bottom/>
      <diagonal/>
    </border>
    <border>
      <left style="thin">
        <color rgb="FFE2E8F0"/>
      </left>
      <right style="thin">
        <color rgb="FFE2E8F0"/>
      </right>
      <top style="thin">
        <color rgb="FFFFFFFF"/>
      </top>
      <bottom/>
      <diagonal/>
    </border>
    <border>
      <left style="thin">
        <color rgb="FFE2E8F0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/>
    </xf>
    <xf numFmtId="9" fontId="1" fillId="0" borderId="0" xfId="0" applyNumberFormat="1" applyFont="1" applyAlignment="1">
      <alignment vertical="center" wrapText="1"/>
    </xf>
    <xf numFmtId="0" fontId="1" fillId="4" borderId="0" xfId="0" applyFont="1" applyFill="1" applyAlignment="1">
      <alignment vertical="center" wrapText="1"/>
    </xf>
    <xf numFmtId="164" fontId="1" fillId="4" borderId="0" xfId="0" applyNumberFormat="1" applyFont="1" applyFill="1" applyAlignment="1">
      <alignment vertical="center" wrapText="1"/>
    </xf>
    <xf numFmtId="9" fontId="1" fillId="4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6" fillId="5" borderId="0" xfId="0" applyFont="1" applyFill="1" applyAlignment="1">
      <alignment vertical="center" wrapText="1"/>
    </xf>
    <xf numFmtId="165" fontId="6" fillId="5" borderId="0" xfId="0" applyNumberFormat="1" applyFont="1" applyFill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165" fontId="1" fillId="4" borderId="0" xfId="0" applyNumberFormat="1" applyFont="1" applyFill="1" applyAlignment="1">
      <alignment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167" fontId="1" fillId="4" borderId="4" xfId="0" applyNumberFormat="1" applyFont="1" applyFill="1" applyBorder="1" applyAlignment="1">
      <alignment horizontal="center" vertical="center"/>
    </xf>
    <xf numFmtId="167" fontId="1" fillId="4" borderId="5" xfId="0" applyNumberFormat="1" applyFont="1" applyFill="1" applyBorder="1" applyAlignment="1">
      <alignment horizontal="center" vertical="center"/>
    </xf>
    <xf numFmtId="167" fontId="1" fillId="4" borderId="6" xfId="0" applyNumberFormat="1" applyFont="1" applyFill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165" fontId="4" fillId="6" borderId="3" xfId="0" applyNumberFormat="1" applyFont="1" applyFill="1" applyBorder="1" applyAlignment="1">
      <alignment horizontal="center" vertical="center" wrapText="1"/>
    </xf>
    <xf numFmtId="167" fontId="1" fillId="4" borderId="4" xfId="0" applyNumberFormat="1" applyFont="1" applyFill="1" applyBorder="1" applyAlignment="1">
      <alignment vertical="center"/>
    </xf>
    <xf numFmtId="167" fontId="1" fillId="4" borderId="5" xfId="0" applyNumberFormat="1" applyFont="1" applyFill="1" applyBorder="1" applyAlignment="1">
      <alignment vertical="center"/>
    </xf>
    <xf numFmtId="167" fontId="1" fillId="4" borderId="6" xfId="0" applyNumberFormat="1" applyFont="1" applyFill="1" applyBorder="1" applyAlignment="1">
      <alignment vertical="center"/>
    </xf>
    <xf numFmtId="167" fontId="1" fillId="0" borderId="4" xfId="0" applyNumberFormat="1" applyFont="1" applyBorder="1" applyAlignment="1">
      <alignment vertical="center"/>
    </xf>
    <xf numFmtId="167" fontId="1" fillId="0" borderId="5" xfId="0" applyNumberFormat="1" applyFont="1" applyBorder="1" applyAlignment="1">
      <alignment vertical="center"/>
    </xf>
    <xf numFmtId="167" fontId="1" fillId="0" borderId="6" xfId="0" applyNumberFormat="1" applyFont="1" applyBorder="1" applyAlignment="1">
      <alignment vertical="center"/>
    </xf>
    <xf numFmtId="167" fontId="1" fillId="0" borderId="7" xfId="0" applyNumberFormat="1" applyFont="1" applyBorder="1" applyAlignment="1">
      <alignment vertical="center"/>
    </xf>
    <xf numFmtId="167" fontId="1" fillId="0" borderId="8" xfId="0" applyNumberFormat="1" applyFont="1" applyBorder="1" applyAlignment="1">
      <alignment vertical="center"/>
    </xf>
    <xf numFmtId="167" fontId="1" fillId="0" borderId="9" xfId="0" applyNumberFormat="1" applyFont="1" applyBorder="1" applyAlignment="1">
      <alignment vertical="center"/>
    </xf>
  </cellXfs>
  <cellStyles count="1">
    <cellStyle name="Normal" xfId="0" builtinId="0"/>
  </cellStyles>
  <dxfs count="16">
    <dxf>
      <font>
        <color rgb="FFA02626"/>
      </font>
      <fill>
        <patternFill patternType="solid">
          <bgColor rgb="FFFCE5E5"/>
        </patternFill>
      </fill>
    </dxf>
    <dxf>
      <font>
        <color rgb="FFA02626"/>
      </font>
      <fill>
        <patternFill patternType="solid">
          <bgColor rgb="FFFCE5E5"/>
        </patternFill>
      </fill>
    </dxf>
    <dxf>
      <fill>
        <patternFill patternType="solid">
          <bgColor rgb="FF48A84E"/>
        </patternFill>
      </fill>
    </dxf>
    <dxf>
      <fill>
        <patternFill patternType="solid">
          <bgColor rgb="FF5787E8"/>
        </patternFill>
      </fill>
    </dxf>
    <dxf>
      <fill>
        <patternFill patternType="solid">
          <bgColor rgb="FFED801D"/>
        </patternFill>
      </fill>
    </dxf>
    <dxf>
      <font>
        <b/>
        <color rgb="FFFFFFFF"/>
      </font>
      <fill>
        <patternFill patternType="solid">
          <bgColor rgb="FFED801D"/>
        </patternFill>
      </fill>
    </dxf>
    <dxf>
      <fill>
        <patternFill patternType="solid">
          <bgColor rgb="FF48A84E"/>
        </patternFill>
      </fill>
    </dxf>
    <dxf>
      <font>
        <b/>
        <color rgb="FFFFFFFF"/>
      </font>
      <fill>
        <patternFill patternType="solid">
          <bgColor rgb="FF48A84E"/>
        </patternFill>
      </fill>
    </dxf>
    <dxf>
      <fill>
        <patternFill patternType="solid">
          <bgColor rgb="FF48A84E"/>
        </patternFill>
      </fill>
    </dxf>
    <dxf>
      <font>
        <b/>
        <color rgb="FFFFFFFF"/>
      </font>
      <fill>
        <patternFill patternType="solid">
          <bgColor rgb="FF48A84E"/>
        </patternFill>
      </fill>
    </dxf>
    <dxf>
      <fill>
        <patternFill patternType="solid">
          <bgColor rgb="FF48A84E"/>
        </patternFill>
      </fill>
    </dxf>
    <dxf>
      <font>
        <b/>
        <color rgb="FFFFFFFF"/>
      </font>
      <fill>
        <patternFill patternType="solid">
          <bgColor rgb="FF48A84E"/>
        </patternFill>
      </fill>
    </dxf>
    <dxf>
      <fill>
        <patternFill patternType="solid">
          <bgColor rgb="FF5787E8"/>
        </patternFill>
      </fill>
    </dxf>
    <dxf>
      <font>
        <b/>
        <color rgb="FFFFFFFF"/>
      </font>
      <fill>
        <patternFill patternType="solid">
          <bgColor rgb="FF5787E8"/>
        </patternFill>
      </fill>
    </dxf>
    <dxf>
      <fill>
        <patternFill patternType="solid">
          <bgColor rgb="FF5787E8"/>
        </patternFill>
      </fill>
    </dxf>
    <dxf>
      <font>
        <b/>
        <color rgb="FFFFFFFF"/>
      </font>
      <fill>
        <patternFill patternType="solid">
          <bgColor rgb="FF5787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SmartStorage" displayName="PlanSmartStorage" ref="A7:P63" totalsRowShown="0">
  <tableColumns count="16">
    <tableColumn id="1" xr3:uid="{00000000-0010-0000-0000-000001000000}" name="ID"/>
    <tableColumn id="2" xr3:uid="{00000000-0010-0000-0000-000002000000}" name="Hito"/>
    <tableColumn id="3" xr3:uid="{00000000-0010-0000-0000-000003000000}" name="Área"/>
    <tableColumn id="4" xr3:uid="{00000000-0010-0000-0000-000004000000}" name="Actividad"/>
    <tableColumn id="5" xr3:uid="{00000000-0010-0000-0000-000005000000}" name="Responsable"/>
    <tableColumn id="6" xr3:uid="{00000000-0010-0000-0000-000006000000}" name="Apoyo / coordinación"/>
    <tableColumn id="7" xr3:uid="{00000000-0010-0000-0000-000007000000}" name="Inicio propuesto"/>
    <tableColumn id="8" xr3:uid="{00000000-0010-0000-0000-000008000000}" name="Fin propuesto"/>
    <tableColumn id="9" xr3:uid="{00000000-0010-0000-0000-000009000000}" name="Días calendario"/>
    <tableColumn id="10" xr3:uid="{00000000-0010-0000-0000-00000A000000}" name="Predecesoras"/>
    <tableColumn id="11" xr3:uid="{00000000-0010-0000-0000-00000B000000}" name="Estado reportado"/>
    <tableColumn id="12" xr3:uid="{00000000-0010-0000-0000-00000C000000}" name="Criterio de aceptación"/>
    <tableColumn id="13" xr3:uid="{00000000-0010-0000-0000-00000D000000}" name="Evidencia / PR"/>
    <tableColumn id="14" xr3:uid="{00000000-0010-0000-0000-00000E000000}" name="Fin de predecesoras"/>
    <tableColumn id="15" xr3:uid="{00000000-0010-0000-0000-00000F000000}" name="Margen mínimo (d)"/>
    <tableColumn id="16" xr3:uid="{00000000-0010-0000-0000-000010000000}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3C59"/>
  </sheetPr>
  <dimension ref="A1:Q70"/>
  <sheetViews>
    <sheetView showGridLines="0" workbookViewId="0">
      <pane xSplit="2" ySplit="7" topLeftCell="C11" activePane="bottomRight" state="frozen"/>
      <selection pane="topRight"/>
      <selection pane="bottomLeft"/>
      <selection pane="bottomRight" activeCell="F13" sqref="F13"/>
    </sheetView>
  </sheetViews>
  <sheetFormatPr baseColWidth="10" defaultColWidth="8.796875" defaultRowHeight="13.8"/>
  <cols>
    <col min="1" max="1" width="9.5" customWidth="1"/>
    <col min="2" max="2" width="40.59765625" customWidth="1"/>
    <col min="3" max="3" width="12.5" customWidth="1"/>
    <col min="4" max="5" width="11" customWidth="1"/>
    <col min="6" max="6" width="16" customWidth="1"/>
    <col min="7" max="17" width="7.09765625" customWidth="1"/>
  </cols>
  <sheetData>
    <row r="1" spans="1:17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0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5.05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5.05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5.05" customHeight="1">
      <c r="A5" s="3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5.05" customHeight="1">
      <c r="A6" s="3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34.049999999999997" customHeight="1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20">
        <v>46258</v>
      </c>
      <c r="H7" s="21">
        <v>46265</v>
      </c>
      <c r="I7" s="21">
        <v>46272</v>
      </c>
      <c r="J7" s="21">
        <v>46279</v>
      </c>
      <c r="K7" s="21">
        <v>46286</v>
      </c>
      <c r="L7" s="21">
        <v>46293</v>
      </c>
      <c r="M7" s="21">
        <v>46300</v>
      </c>
      <c r="N7" s="21">
        <v>46307</v>
      </c>
      <c r="O7" s="21">
        <v>46314</v>
      </c>
      <c r="P7" s="21">
        <v>46321</v>
      </c>
      <c r="Q7" s="22">
        <v>46328</v>
      </c>
    </row>
    <row r="8" spans="1:17" ht="37.049999999999997" customHeight="1">
      <c r="A8" s="16" t="str">
        <f>'Entregas y equipo'!A8</f>
        <v>S0</v>
      </c>
      <c r="B8" s="16" t="str">
        <f>'Entregas y equipo'!B8</f>
        <v>Coordinación y propuesta</v>
      </c>
      <c r="C8" s="16" t="str">
        <f>"Equipo"</f>
        <v>Equipo</v>
      </c>
      <c r="D8" s="17">
        <f>'Entregas y equipo'!C8</f>
        <v>46258</v>
      </c>
      <c r="E8" s="17">
        <f>'Entregas y equipo'!D8</f>
        <v>46262</v>
      </c>
      <c r="F8" s="16" t="str">
        <f>"Hito previsto"</f>
        <v>Hito previsto</v>
      </c>
      <c r="G8" s="23" t="str">
        <f t="shared" ref="G8:Q8" si="0">IF(AND(G$7&lt;=$E8,G$7+6&gt;=$E8),"H",IF(AND(G$7&lt;=$E8,G$7+6&gt;=$D8),1,""))</f>
        <v>H</v>
      </c>
      <c r="H8" s="24" t="str">
        <f t="shared" si="0"/>
        <v/>
      </c>
      <c r="I8" s="24" t="str">
        <f t="shared" si="0"/>
        <v/>
      </c>
      <c r="J8" s="24" t="str">
        <f t="shared" si="0"/>
        <v/>
      </c>
      <c r="K8" s="24" t="str">
        <f t="shared" si="0"/>
        <v/>
      </c>
      <c r="L8" s="24" t="str">
        <f t="shared" si="0"/>
        <v/>
      </c>
      <c r="M8" s="24" t="str">
        <f t="shared" si="0"/>
        <v/>
      </c>
      <c r="N8" s="24" t="str">
        <f t="shared" si="0"/>
        <v/>
      </c>
      <c r="O8" s="24" t="str">
        <f t="shared" si="0"/>
        <v/>
      </c>
      <c r="P8" s="24" t="str">
        <f t="shared" si="0"/>
        <v/>
      </c>
      <c r="Q8" s="25" t="str">
        <f t="shared" si="0"/>
        <v/>
      </c>
    </row>
    <row r="9" spans="1:17" ht="37.049999999999997" customHeight="1">
      <c r="A9" s="4" t="s">
        <v>11</v>
      </c>
      <c r="B9" s="4" t="str">
        <f>VLOOKUP($A9,Tareas!$A$8:$P$63,4,FALSE)</f>
        <v>Definir equipo y organización</v>
      </c>
      <c r="C9" s="4" t="str">
        <f>VLOOKUP($A9,Tareas!$A$8:$P$63,5,FALSE)</f>
        <v>Equipo</v>
      </c>
      <c r="D9" s="18">
        <f>VLOOKUP($A9,Tareas!$A$8:$P$63,7,FALSE)</f>
        <v>46258</v>
      </c>
      <c r="E9" s="18">
        <f>VLOOKUP($A9,Tareas!$A$8:$P$63,8,FALSE)</f>
        <v>46259</v>
      </c>
      <c r="F9" s="4" t="s">
        <v>352</v>
      </c>
      <c r="G9" s="26">
        <f t="shared" ref="G9:Q12" si="1">IF(AND(G$7&lt;=$E9,G$7+6&gt;=$D9),1,"")</f>
        <v>1</v>
      </c>
      <c r="H9" s="27" t="str">
        <f t="shared" si="1"/>
        <v/>
      </c>
      <c r="I9" s="27" t="str">
        <f t="shared" si="1"/>
        <v/>
      </c>
      <c r="J9" s="27" t="str">
        <f t="shared" si="1"/>
        <v/>
      </c>
      <c r="K9" s="27" t="str">
        <f t="shared" si="1"/>
        <v/>
      </c>
      <c r="L9" s="27" t="str">
        <f t="shared" si="1"/>
        <v/>
      </c>
      <c r="M9" s="27" t="str">
        <f t="shared" si="1"/>
        <v/>
      </c>
      <c r="N9" s="27" t="str">
        <f t="shared" si="1"/>
        <v/>
      </c>
      <c r="O9" s="27" t="str">
        <f t="shared" si="1"/>
        <v/>
      </c>
      <c r="P9" s="27" t="str">
        <f t="shared" si="1"/>
        <v/>
      </c>
      <c r="Q9" s="28" t="str">
        <f t="shared" si="1"/>
        <v/>
      </c>
    </row>
    <row r="10" spans="1:17" ht="37.049999999999997" customHeight="1">
      <c r="A10" s="12" t="s">
        <v>12</v>
      </c>
      <c r="B10" s="12" t="str">
        <f>VLOOKUP($A10,Tareas!$A$8:$P$63,4,FALSE)</f>
        <v>Definir problema, solución y alcance</v>
      </c>
      <c r="C10" s="12" t="str">
        <f>VLOOKUP($A10,Tareas!$A$8:$P$63,5,FALSE)</f>
        <v>Equipo</v>
      </c>
      <c r="D10" s="19">
        <f>VLOOKUP($A10,Tareas!$A$8:$P$63,7,FALSE)</f>
        <v>46259</v>
      </c>
      <c r="E10" s="19">
        <f>VLOOKUP($A10,Tareas!$A$8:$P$63,8,FALSE)</f>
        <v>46261</v>
      </c>
      <c r="F10" s="12" t="s">
        <v>352</v>
      </c>
      <c r="G10" s="29">
        <f t="shared" si="1"/>
        <v>1</v>
      </c>
      <c r="H10" s="30" t="str">
        <f t="shared" si="1"/>
        <v/>
      </c>
      <c r="I10" s="30" t="str">
        <f t="shared" si="1"/>
        <v/>
      </c>
      <c r="J10" s="30" t="str">
        <f t="shared" si="1"/>
        <v/>
      </c>
      <c r="K10" s="30" t="str">
        <f t="shared" si="1"/>
        <v/>
      </c>
      <c r="L10" s="30" t="str">
        <f t="shared" si="1"/>
        <v/>
      </c>
      <c r="M10" s="30" t="str">
        <f t="shared" si="1"/>
        <v/>
      </c>
      <c r="N10" s="30" t="str">
        <f t="shared" si="1"/>
        <v/>
      </c>
      <c r="O10" s="30" t="str">
        <f t="shared" si="1"/>
        <v/>
      </c>
      <c r="P10" s="30" t="str">
        <f t="shared" si="1"/>
        <v/>
      </c>
      <c r="Q10" s="31" t="str">
        <f t="shared" si="1"/>
        <v/>
      </c>
    </row>
    <row r="11" spans="1:17" ht="37.049999999999997" customHeight="1">
      <c r="A11" s="4" t="s">
        <v>13</v>
      </c>
      <c r="B11" s="4" t="str">
        <f>VLOOKUP($A11,Tareas!$A$8:$P$63,4,FALSE)</f>
        <v>Preparar metodología y cronograma</v>
      </c>
      <c r="C11" s="4" t="str">
        <f>VLOOKUP($A11,Tareas!$A$8:$P$63,5,FALSE)</f>
        <v>Equipo</v>
      </c>
      <c r="D11" s="18">
        <f>VLOOKUP($A11,Tareas!$A$8:$P$63,7,FALSE)</f>
        <v>46260</v>
      </c>
      <c r="E11" s="18">
        <f>VLOOKUP($A11,Tareas!$A$8:$P$63,8,FALSE)</f>
        <v>46261</v>
      </c>
      <c r="F11" s="4" t="s">
        <v>352</v>
      </c>
      <c r="G11" s="26">
        <f t="shared" si="1"/>
        <v>1</v>
      </c>
      <c r="H11" s="27" t="str">
        <f t="shared" si="1"/>
        <v/>
      </c>
      <c r="I11" s="27" t="str">
        <f t="shared" si="1"/>
        <v/>
      </c>
      <c r="J11" s="27" t="str">
        <f t="shared" si="1"/>
        <v/>
      </c>
      <c r="K11" s="27" t="str">
        <f t="shared" si="1"/>
        <v/>
      </c>
      <c r="L11" s="27" t="str">
        <f t="shared" si="1"/>
        <v/>
      </c>
      <c r="M11" s="27" t="str">
        <f t="shared" si="1"/>
        <v/>
      </c>
      <c r="N11" s="27" t="str">
        <f t="shared" si="1"/>
        <v/>
      </c>
      <c r="O11" s="27" t="str">
        <f t="shared" si="1"/>
        <v/>
      </c>
      <c r="P11" s="27" t="str">
        <f t="shared" si="1"/>
        <v/>
      </c>
      <c r="Q11" s="28" t="str">
        <f t="shared" si="1"/>
        <v/>
      </c>
    </row>
    <row r="12" spans="1:17" ht="37.049999999999997" customHeight="1">
      <c r="A12" s="12" t="s">
        <v>14</v>
      </c>
      <c r="B12" s="12" t="str">
        <f>VLOOKUP($A12,Tareas!$A$8:$P$63,4,FALSE)</f>
        <v>Revisar y entregar propuesta</v>
      </c>
      <c r="C12" s="12" t="str">
        <f>VLOOKUP($A12,Tareas!$A$8:$P$63,5,FALSE)</f>
        <v>Equipo</v>
      </c>
      <c r="D12" s="19">
        <f>VLOOKUP($A12,Tareas!$A$8:$P$63,7,FALSE)</f>
        <v>46262</v>
      </c>
      <c r="E12" s="19">
        <f>VLOOKUP($A12,Tareas!$A$8:$P$63,8,FALSE)</f>
        <v>46262</v>
      </c>
      <c r="F12" s="12" t="s">
        <v>352</v>
      </c>
      <c r="G12" s="29">
        <f t="shared" si="1"/>
        <v>1</v>
      </c>
      <c r="H12" s="30" t="str">
        <f t="shared" si="1"/>
        <v/>
      </c>
      <c r="I12" s="30" t="str">
        <f t="shared" si="1"/>
        <v/>
      </c>
      <c r="J12" s="30" t="str">
        <f t="shared" si="1"/>
        <v/>
      </c>
      <c r="K12" s="30" t="str">
        <f t="shared" si="1"/>
        <v/>
      </c>
      <c r="L12" s="30" t="str">
        <f t="shared" si="1"/>
        <v/>
      </c>
      <c r="M12" s="30" t="str">
        <f t="shared" si="1"/>
        <v/>
      </c>
      <c r="N12" s="30" t="str">
        <f t="shared" si="1"/>
        <v/>
      </c>
      <c r="O12" s="30" t="str">
        <f t="shared" si="1"/>
        <v/>
      </c>
      <c r="P12" s="30" t="str">
        <f t="shared" si="1"/>
        <v/>
      </c>
      <c r="Q12" s="31" t="str">
        <f t="shared" si="1"/>
        <v/>
      </c>
    </row>
    <row r="13" spans="1:17" ht="37.049999999999997" customHeight="1">
      <c r="A13" s="16" t="str">
        <f>'Entregas y equipo'!A9</f>
        <v>S1</v>
      </c>
      <c r="B13" s="16" t="str">
        <f>'Entregas y equipo'!B9</f>
        <v>Requisitos y diseño preliminar</v>
      </c>
      <c r="C13" s="16" t="str">
        <f>"Equipo"</f>
        <v>Equipo</v>
      </c>
      <c r="D13" s="17">
        <f>'Entregas y equipo'!C9</f>
        <v>46263</v>
      </c>
      <c r="E13" s="17">
        <f>'Entregas y equipo'!D9</f>
        <v>46276</v>
      </c>
      <c r="F13" s="16" t="str">
        <f>"Hito previsto"</f>
        <v>Hito previsto</v>
      </c>
      <c r="G13" s="23">
        <f t="shared" ref="G13:Q13" si="2">IF(AND(G$7&lt;=$E13,G$7+6&gt;=$E13),"H",IF(AND(G$7&lt;=$E13,G$7+6&gt;=$D13),1,""))</f>
        <v>1</v>
      </c>
      <c r="H13" s="24">
        <f t="shared" si="2"/>
        <v>1</v>
      </c>
      <c r="I13" s="24" t="str">
        <f t="shared" si="2"/>
        <v>H</v>
      </c>
      <c r="J13" s="24" t="str">
        <f t="shared" si="2"/>
        <v/>
      </c>
      <c r="K13" s="24" t="str">
        <f t="shared" si="2"/>
        <v/>
      </c>
      <c r="L13" s="24" t="str">
        <f t="shared" si="2"/>
        <v/>
      </c>
      <c r="M13" s="24" t="str">
        <f t="shared" si="2"/>
        <v/>
      </c>
      <c r="N13" s="24" t="str">
        <f t="shared" si="2"/>
        <v/>
      </c>
      <c r="O13" s="24" t="str">
        <f t="shared" si="2"/>
        <v/>
      </c>
      <c r="P13" s="24" t="str">
        <f t="shared" si="2"/>
        <v/>
      </c>
      <c r="Q13" s="25" t="str">
        <f t="shared" si="2"/>
        <v/>
      </c>
    </row>
    <row r="14" spans="1:17" ht="37.049999999999997" customHeight="1">
      <c r="A14" s="12" t="s">
        <v>15</v>
      </c>
      <c r="B14" s="12" t="str">
        <f>VLOOKUP($A14,Tareas!$A$8:$P$63,4,FALSE)</f>
        <v>Detallar requisitos de usuarios</v>
      </c>
      <c r="C14" s="12" t="str">
        <f>VLOOKUP($A14,Tareas!$A$8:$P$63,5,FALSE)</f>
        <v>Andy</v>
      </c>
      <c r="D14" s="19">
        <f>VLOOKUP($A14,Tareas!$A$8:$P$63,7,FALSE)</f>
        <v>46265</v>
      </c>
      <c r="E14" s="19">
        <f>VLOOKUP($A14,Tareas!$A$8:$P$63,8,FALSE)</f>
        <v>46268</v>
      </c>
      <c r="F14" s="12" t="str">
        <f>VLOOKUP($A14,Tareas!$A$8:$P$63,11,FALSE)</f>
        <v>Hecha</v>
      </c>
      <c r="G14" s="29" t="str">
        <f t="shared" ref="G14:Q19" si="3">IF(AND(G$7&lt;=$E14,G$7+6&gt;=$D14),1,"")</f>
        <v/>
      </c>
      <c r="H14" s="30">
        <f t="shared" si="3"/>
        <v>1</v>
      </c>
      <c r="I14" s="30" t="str">
        <f t="shared" si="3"/>
        <v/>
      </c>
      <c r="J14" s="30" t="str">
        <f t="shared" si="3"/>
        <v/>
      </c>
      <c r="K14" s="30" t="str">
        <f t="shared" si="3"/>
        <v/>
      </c>
      <c r="L14" s="30" t="str">
        <f t="shared" si="3"/>
        <v/>
      </c>
      <c r="M14" s="30" t="str">
        <f t="shared" si="3"/>
        <v/>
      </c>
      <c r="N14" s="30" t="str">
        <f t="shared" si="3"/>
        <v/>
      </c>
      <c r="O14" s="30" t="str">
        <f t="shared" si="3"/>
        <v/>
      </c>
      <c r="P14" s="30" t="str">
        <f t="shared" si="3"/>
        <v/>
      </c>
      <c r="Q14" s="31" t="str">
        <f t="shared" si="3"/>
        <v/>
      </c>
    </row>
    <row r="15" spans="1:17" ht="37.049999999999997" customHeight="1">
      <c r="A15" s="4" t="s">
        <v>16</v>
      </c>
      <c r="B15" s="4" t="str">
        <f>VLOOKUP($A15,Tareas!$A$8:$P$63,4,FALSE)</f>
        <v>Detallar requisitos de Storage</v>
      </c>
      <c r="C15" s="4" t="str">
        <f>VLOOKUP($A15,Tareas!$A$8:$P$63,5,FALSE)</f>
        <v>Geovanny</v>
      </c>
      <c r="D15" s="18">
        <f>VLOOKUP($A15,Tareas!$A$8:$P$63,7,FALSE)</f>
        <v>46265</v>
      </c>
      <c r="E15" s="18">
        <f>VLOOKUP($A15,Tareas!$A$8:$P$63,8,FALSE)</f>
        <v>46268</v>
      </c>
      <c r="F15" s="4" t="str">
        <f>VLOOKUP($A15,Tareas!$A$8:$P$63,11,FALSE)</f>
        <v>Hecha</v>
      </c>
      <c r="G15" s="26" t="str">
        <f t="shared" si="3"/>
        <v/>
      </c>
      <c r="H15" s="27">
        <f t="shared" si="3"/>
        <v>1</v>
      </c>
      <c r="I15" s="27" t="str">
        <f t="shared" si="3"/>
        <v/>
      </c>
      <c r="J15" s="27" t="str">
        <f t="shared" si="3"/>
        <v/>
      </c>
      <c r="K15" s="27" t="str">
        <f t="shared" si="3"/>
        <v/>
      </c>
      <c r="L15" s="27" t="str">
        <f t="shared" si="3"/>
        <v/>
      </c>
      <c r="M15" s="27" t="str">
        <f t="shared" si="3"/>
        <v/>
      </c>
      <c r="N15" s="27" t="str">
        <f t="shared" si="3"/>
        <v/>
      </c>
      <c r="O15" s="27" t="str">
        <f t="shared" si="3"/>
        <v/>
      </c>
      <c r="P15" s="27" t="str">
        <f t="shared" si="3"/>
        <v/>
      </c>
      <c r="Q15" s="28" t="str">
        <f t="shared" si="3"/>
        <v/>
      </c>
    </row>
    <row r="16" spans="1:17" ht="37.049999999999997" customHeight="1">
      <c r="A16" s="12" t="s">
        <v>17</v>
      </c>
      <c r="B16" s="12" t="str">
        <f>VLOOKUP($A16,Tareas!$A$8:$P$63,4,FALSE)</f>
        <v>Detallar planes y pagos simulados</v>
      </c>
      <c r="C16" s="12" t="str">
        <f>VLOOKUP($A16,Tareas!$A$8:$P$63,5,FALSE)</f>
        <v>Elden</v>
      </c>
      <c r="D16" s="19">
        <f>VLOOKUP($A16,Tareas!$A$8:$P$63,7,FALSE)</f>
        <v>46265</v>
      </c>
      <c r="E16" s="19">
        <f>VLOOKUP($A16,Tareas!$A$8:$P$63,8,FALSE)</f>
        <v>46268</v>
      </c>
      <c r="F16" s="12" t="str">
        <f>VLOOKUP($A16,Tareas!$A$8:$P$63,11,FALSE)</f>
        <v>Por confirmar</v>
      </c>
      <c r="G16" s="29" t="str">
        <f t="shared" si="3"/>
        <v/>
      </c>
      <c r="H16" s="30">
        <f t="shared" si="3"/>
        <v>1</v>
      </c>
      <c r="I16" s="30" t="str">
        <f t="shared" si="3"/>
        <v/>
      </c>
      <c r="J16" s="30" t="str">
        <f t="shared" si="3"/>
        <v/>
      </c>
      <c r="K16" s="30" t="str">
        <f t="shared" si="3"/>
        <v/>
      </c>
      <c r="L16" s="30" t="str">
        <f t="shared" si="3"/>
        <v/>
      </c>
      <c r="M16" s="30" t="str">
        <f t="shared" si="3"/>
        <v/>
      </c>
      <c r="N16" s="30" t="str">
        <f t="shared" si="3"/>
        <v/>
      </c>
      <c r="O16" s="30" t="str">
        <f t="shared" si="3"/>
        <v/>
      </c>
      <c r="P16" s="30" t="str">
        <f t="shared" si="3"/>
        <v/>
      </c>
      <c r="Q16" s="31" t="str">
        <f t="shared" si="3"/>
        <v/>
      </c>
    </row>
    <row r="17" spans="1:17" ht="37.049999999999997" customHeight="1">
      <c r="A17" s="4" t="s">
        <v>18</v>
      </c>
      <c r="B17" s="4" t="str">
        <f>VLOOKUP($A17,Tareas!$A$8:$P$63,4,FALSE)</f>
        <v>Diseñar pantallas y navegación</v>
      </c>
      <c r="C17" s="4" t="str">
        <f>VLOOKUP($A17,Tareas!$A$8:$P$63,5,FALSE)</f>
        <v>Diego</v>
      </c>
      <c r="D17" s="18">
        <f>VLOOKUP($A17,Tareas!$A$8:$P$63,7,FALSE)</f>
        <v>46265</v>
      </c>
      <c r="E17" s="18">
        <f>VLOOKUP($A17,Tareas!$A$8:$P$63,8,FALSE)</f>
        <v>46273</v>
      </c>
      <c r="F17" s="4" t="str">
        <f>VLOOKUP($A17,Tareas!$A$8:$P$63,11,FALSE)</f>
        <v>Por confirmar</v>
      </c>
      <c r="G17" s="26" t="str">
        <f t="shared" si="3"/>
        <v/>
      </c>
      <c r="H17" s="27">
        <f t="shared" si="3"/>
        <v>1</v>
      </c>
      <c r="I17" s="27">
        <f t="shared" si="3"/>
        <v>1</v>
      </c>
      <c r="J17" s="27" t="str">
        <f t="shared" si="3"/>
        <v/>
      </c>
      <c r="K17" s="27" t="str">
        <f t="shared" si="3"/>
        <v/>
      </c>
      <c r="L17" s="27" t="str">
        <f t="shared" si="3"/>
        <v/>
      </c>
      <c r="M17" s="27" t="str">
        <f t="shared" si="3"/>
        <v/>
      </c>
      <c r="N17" s="27" t="str">
        <f t="shared" si="3"/>
        <v/>
      </c>
      <c r="O17" s="27" t="str">
        <f t="shared" si="3"/>
        <v/>
      </c>
      <c r="P17" s="27" t="str">
        <f t="shared" si="3"/>
        <v/>
      </c>
      <c r="Q17" s="28" t="str">
        <f t="shared" si="3"/>
        <v/>
      </c>
    </row>
    <row r="18" spans="1:17" ht="37.049999999999997" customHeight="1">
      <c r="A18" s="12" t="s">
        <v>19</v>
      </c>
      <c r="B18" s="12" t="str">
        <f>VLOOKUP($A18,Tareas!$A$8:$P$63,4,FALSE)</f>
        <v>Consolidar modelo de datos y arquitectura</v>
      </c>
      <c r="C18" s="12" t="str">
        <f>VLOOKUP($A18,Tareas!$A$8:$P$63,5,FALSE)</f>
        <v>Equipo</v>
      </c>
      <c r="D18" s="19">
        <f>VLOOKUP($A18,Tareas!$A$8:$P$63,7,FALSE)</f>
        <v>46269</v>
      </c>
      <c r="E18" s="19">
        <f>VLOOKUP($A18,Tareas!$A$8:$P$63,8,FALSE)</f>
        <v>46274</v>
      </c>
      <c r="F18" s="12" t="str">
        <f>VLOOKUP($A18,Tareas!$A$8:$P$63,11,FALSE)</f>
        <v>Por confirmar</v>
      </c>
      <c r="G18" s="29" t="str">
        <f t="shared" si="3"/>
        <v/>
      </c>
      <c r="H18" s="30">
        <f t="shared" si="3"/>
        <v>1</v>
      </c>
      <c r="I18" s="30">
        <f t="shared" si="3"/>
        <v>1</v>
      </c>
      <c r="J18" s="30" t="str">
        <f t="shared" si="3"/>
        <v/>
      </c>
      <c r="K18" s="30" t="str">
        <f t="shared" si="3"/>
        <v/>
      </c>
      <c r="L18" s="30" t="str">
        <f t="shared" si="3"/>
        <v/>
      </c>
      <c r="M18" s="30" t="str">
        <f t="shared" si="3"/>
        <v/>
      </c>
      <c r="N18" s="30" t="str">
        <f t="shared" si="3"/>
        <v/>
      </c>
      <c r="O18" s="30" t="str">
        <f t="shared" si="3"/>
        <v/>
      </c>
      <c r="P18" s="30" t="str">
        <f t="shared" si="3"/>
        <v/>
      </c>
      <c r="Q18" s="31" t="str">
        <f t="shared" si="3"/>
        <v/>
      </c>
    </row>
    <row r="19" spans="1:17" ht="37.049999999999997" customHeight="1">
      <c r="A19" s="4" t="s">
        <v>20</v>
      </c>
      <c r="B19" s="4" t="str">
        <f>VLOOKUP($A19,Tareas!$A$8:$P$63,4,FALSE)</f>
        <v>Revisar requisitos y diseño preliminar</v>
      </c>
      <c r="C19" s="4" t="str">
        <f>VLOOKUP($A19,Tareas!$A$8:$P$63,5,FALSE)</f>
        <v>Equipo</v>
      </c>
      <c r="D19" s="18">
        <f>VLOOKUP($A19,Tareas!$A$8:$P$63,7,FALSE)</f>
        <v>46275</v>
      </c>
      <c r="E19" s="18">
        <f>VLOOKUP($A19,Tareas!$A$8:$P$63,8,FALSE)</f>
        <v>46276</v>
      </c>
      <c r="F19" s="4" t="str">
        <f>VLOOKUP($A19,Tareas!$A$8:$P$63,11,FALSE)</f>
        <v>Por confirmar</v>
      </c>
      <c r="G19" s="26" t="str">
        <f t="shared" si="3"/>
        <v/>
      </c>
      <c r="H19" s="27" t="str">
        <f t="shared" si="3"/>
        <v/>
      </c>
      <c r="I19" s="27">
        <f t="shared" si="3"/>
        <v>1</v>
      </c>
      <c r="J19" s="27" t="str">
        <f t="shared" si="3"/>
        <v/>
      </c>
      <c r="K19" s="27" t="str">
        <f t="shared" si="3"/>
        <v/>
      </c>
      <c r="L19" s="27" t="str">
        <f t="shared" si="3"/>
        <v/>
      </c>
      <c r="M19" s="27" t="str">
        <f t="shared" si="3"/>
        <v/>
      </c>
      <c r="N19" s="27" t="str">
        <f t="shared" si="3"/>
        <v/>
      </c>
      <c r="O19" s="27" t="str">
        <f t="shared" si="3"/>
        <v/>
      </c>
      <c r="P19" s="27" t="str">
        <f t="shared" si="3"/>
        <v/>
      </c>
      <c r="Q19" s="28" t="str">
        <f t="shared" si="3"/>
        <v/>
      </c>
    </row>
    <row r="20" spans="1:17" ht="37.049999999999997" customHeight="1">
      <c r="A20" s="16" t="str">
        <f>'Entregas y equipo'!A10</f>
        <v>S2</v>
      </c>
      <c r="B20" s="16" t="str">
        <f>'Entregas y equipo'!B10</f>
        <v>Avance funcional 1 (30%)</v>
      </c>
      <c r="C20" s="16" t="str">
        <f>"Equipo"</f>
        <v>Equipo</v>
      </c>
      <c r="D20" s="17">
        <f>'Entregas y equipo'!C10</f>
        <v>46277</v>
      </c>
      <c r="E20" s="17">
        <f>'Entregas y equipo'!D10</f>
        <v>46290</v>
      </c>
      <c r="F20" s="16" t="str">
        <f>"Hito previsto"</f>
        <v>Hito previsto</v>
      </c>
      <c r="G20" s="23" t="str">
        <f t="shared" ref="G20:Q20" si="4">IF(AND(G$7&lt;=$E20,G$7+6&gt;=$E20),"H",IF(AND(G$7&lt;=$E20,G$7+6&gt;=$D20),1,""))</f>
        <v/>
      </c>
      <c r="H20" s="24" t="str">
        <f t="shared" si="4"/>
        <v/>
      </c>
      <c r="I20" s="24">
        <f t="shared" si="4"/>
        <v>1</v>
      </c>
      <c r="J20" s="24">
        <f t="shared" si="4"/>
        <v>1</v>
      </c>
      <c r="K20" s="24" t="str">
        <f t="shared" si="4"/>
        <v>H</v>
      </c>
      <c r="L20" s="24" t="str">
        <f t="shared" si="4"/>
        <v/>
      </c>
      <c r="M20" s="24" t="str">
        <f t="shared" si="4"/>
        <v/>
      </c>
      <c r="N20" s="24" t="str">
        <f t="shared" si="4"/>
        <v/>
      </c>
      <c r="O20" s="24" t="str">
        <f t="shared" si="4"/>
        <v/>
      </c>
      <c r="P20" s="24" t="str">
        <f t="shared" si="4"/>
        <v/>
      </c>
      <c r="Q20" s="25" t="str">
        <f t="shared" si="4"/>
        <v/>
      </c>
    </row>
    <row r="21" spans="1:17" ht="37.049999999999997" customHeight="1">
      <c r="A21" s="4" t="s">
        <v>21</v>
      </c>
      <c r="B21" s="4" t="str">
        <f>VLOOKUP($A21,Tareas!$A$8:$P$63,4,FALSE)</f>
        <v>Preparar esqueleto y esquema inicial</v>
      </c>
      <c r="C21" s="4" t="str">
        <f>VLOOKUP($A21,Tareas!$A$8:$P$63,5,FALSE)</f>
        <v>Equipo</v>
      </c>
      <c r="D21" s="18">
        <f>VLOOKUP($A21,Tareas!$A$8:$P$63,7,FALSE)</f>
        <v>46286</v>
      </c>
      <c r="E21" s="18">
        <f>VLOOKUP($A21,Tareas!$A$8:$P$63,8,FALSE)</f>
        <v>46286</v>
      </c>
      <c r="F21" s="4" t="str">
        <f>VLOOKUP($A21,Tareas!$A$8:$P$63,11,FALSE)</f>
        <v>Base verificada</v>
      </c>
      <c r="G21" s="26" t="str">
        <f t="shared" ref="G21:Q30" si="5">IF(AND(G$7&lt;=$E21,G$7+6&gt;=$D21),1,"")</f>
        <v/>
      </c>
      <c r="H21" s="27" t="str">
        <f t="shared" si="5"/>
        <v/>
      </c>
      <c r="I21" s="27" t="str">
        <f t="shared" si="5"/>
        <v/>
      </c>
      <c r="J21" s="27" t="str">
        <f t="shared" si="5"/>
        <v/>
      </c>
      <c r="K21" s="27">
        <f t="shared" si="5"/>
        <v>1</v>
      </c>
      <c r="L21" s="27" t="str">
        <f t="shared" si="5"/>
        <v/>
      </c>
      <c r="M21" s="27" t="str">
        <f t="shared" si="5"/>
        <v/>
      </c>
      <c r="N21" s="27" t="str">
        <f t="shared" si="5"/>
        <v/>
      </c>
      <c r="O21" s="27" t="str">
        <f t="shared" si="5"/>
        <v/>
      </c>
      <c r="P21" s="27" t="str">
        <f t="shared" si="5"/>
        <v/>
      </c>
      <c r="Q21" s="28" t="str">
        <f t="shared" si="5"/>
        <v/>
      </c>
    </row>
    <row r="22" spans="1:17" ht="37.049999999999997" customHeight="1">
      <c r="A22" s="12" t="s">
        <v>22</v>
      </c>
      <c r="B22" s="12" t="str">
        <f>VLOOKUP($A22,Tareas!$A$8:$P$63,4,FALSE)</f>
        <v>Implementar registro y hash seguro</v>
      </c>
      <c r="C22" s="12" t="str">
        <f>VLOOKUP($A22,Tareas!$A$8:$P$63,5,FALSE)</f>
        <v>Andy</v>
      </c>
      <c r="D22" s="19">
        <f>VLOOKUP($A22,Tareas!$A$8:$P$63,7,FALSE)</f>
        <v>46288</v>
      </c>
      <c r="E22" s="19">
        <f>VLOOKUP($A22,Tareas!$A$8:$P$63,8,FALSE)</f>
        <v>46288</v>
      </c>
      <c r="F22" s="12" t="str">
        <f>VLOOKUP($A22,Tareas!$A$8:$P$63,11,FALSE)</f>
        <v>En progreso</v>
      </c>
      <c r="G22" s="29" t="str">
        <f t="shared" si="5"/>
        <v/>
      </c>
      <c r="H22" s="30" t="str">
        <f t="shared" si="5"/>
        <v/>
      </c>
      <c r="I22" s="30" t="str">
        <f t="shared" si="5"/>
        <v/>
      </c>
      <c r="J22" s="30" t="str">
        <f t="shared" si="5"/>
        <v/>
      </c>
      <c r="K22" s="30">
        <f t="shared" si="5"/>
        <v>1</v>
      </c>
      <c r="L22" s="30" t="str">
        <f t="shared" si="5"/>
        <v/>
      </c>
      <c r="M22" s="30" t="str">
        <f t="shared" si="5"/>
        <v/>
      </c>
      <c r="N22" s="30" t="str">
        <f t="shared" si="5"/>
        <v/>
      </c>
      <c r="O22" s="30" t="str">
        <f t="shared" si="5"/>
        <v/>
      </c>
      <c r="P22" s="30" t="str">
        <f t="shared" si="5"/>
        <v/>
      </c>
      <c r="Q22" s="31" t="str">
        <f t="shared" si="5"/>
        <v/>
      </c>
    </row>
    <row r="23" spans="1:17" ht="37.049999999999997" customHeight="1">
      <c r="A23" s="4" t="s">
        <v>23</v>
      </c>
      <c r="B23" s="4" t="str">
        <f>VLOOKUP($A23,Tareas!$A$8:$P$63,4,FALSE)</f>
        <v>Implementar login, JWT y protección</v>
      </c>
      <c r="C23" s="4" t="str">
        <f>VLOOKUP($A23,Tareas!$A$8:$P$63,5,FALSE)</f>
        <v>Andy</v>
      </c>
      <c r="D23" s="18">
        <f>VLOOKUP($A23,Tareas!$A$8:$P$63,7,FALSE)</f>
        <v>46289</v>
      </c>
      <c r="E23" s="18">
        <f>VLOOKUP($A23,Tareas!$A$8:$P$63,8,FALSE)</f>
        <v>46289</v>
      </c>
      <c r="F23" s="4" t="str">
        <f>VLOOKUP($A23,Tareas!$A$8:$P$63,11,FALSE)</f>
        <v>En progreso</v>
      </c>
      <c r="G23" s="26" t="str">
        <f t="shared" si="5"/>
        <v/>
      </c>
      <c r="H23" s="27" t="str">
        <f t="shared" si="5"/>
        <v/>
      </c>
      <c r="I23" s="27" t="str">
        <f t="shared" si="5"/>
        <v/>
      </c>
      <c r="J23" s="27" t="str">
        <f t="shared" si="5"/>
        <v/>
      </c>
      <c r="K23" s="27">
        <f t="shared" si="5"/>
        <v>1</v>
      </c>
      <c r="L23" s="27" t="str">
        <f t="shared" si="5"/>
        <v/>
      </c>
      <c r="M23" s="27" t="str">
        <f t="shared" si="5"/>
        <v/>
      </c>
      <c r="N23" s="27" t="str">
        <f t="shared" si="5"/>
        <v/>
      </c>
      <c r="O23" s="27" t="str">
        <f t="shared" si="5"/>
        <v/>
      </c>
      <c r="P23" s="27" t="str">
        <f t="shared" si="5"/>
        <v/>
      </c>
      <c r="Q23" s="28" t="str">
        <f t="shared" si="5"/>
        <v/>
      </c>
    </row>
    <row r="24" spans="1:17" ht="37.049999999999997" customHeight="1">
      <c r="A24" s="12" t="s">
        <v>24</v>
      </c>
      <c r="B24" s="12" t="str">
        <f>VLOOKUP($A24,Tareas!$A$8:$P$63,4,FALSE)</f>
        <v>Revisar catálogo y contrato de Free</v>
      </c>
      <c r="C24" s="12" t="str">
        <f>VLOOKUP($A24,Tareas!$A$8:$P$63,5,FALSE)</f>
        <v>Elden</v>
      </c>
      <c r="D24" s="19">
        <f>VLOOKUP($A24,Tareas!$A$8:$P$63,7,FALSE)</f>
        <v>46288</v>
      </c>
      <c r="E24" s="19">
        <f>VLOOKUP($A24,Tareas!$A$8:$P$63,8,FALSE)</f>
        <v>46288</v>
      </c>
      <c r="F24" s="12" t="str">
        <f>VLOOKUP($A24,Tareas!$A$8:$P$63,11,FALSE)</f>
        <v>Planificada</v>
      </c>
      <c r="G24" s="29" t="str">
        <f t="shared" si="5"/>
        <v/>
      </c>
      <c r="H24" s="30" t="str">
        <f t="shared" si="5"/>
        <v/>
      </c>
      <c r="I24" s="30" t="str">
        <f t="shared" si="5"/>
        <v/>
      </c>
      <c r="J24" s="30" t="str">
        <f t="shared" si="5"/>
        <v/>
      </c>
      <c r="K24" s="30">
        <f t="shared" si="5"/>
        <v>1</v>
      </c>
      <c r="L24" s="30" t="str">
        <f t="shared" si="5"/>
        <v/>
      </c>
      <c r="M24" s="30" t="str">
        <f t="shared" si="5"/>
        <v/>
      </c>
      <c r="N24" s="30" t="str">
        <f t="shared" si="5"/>
        <v/>
      </c>
      <c r="O24" s="30" t="str">
        <f t="shared" si="5"/>
        <v/>
      </c>
      <c r="P24" s="30" t="str">
        <f t="shared" si="5"/>
        <v/>
      </c>
      <c r="Q24" s="31" t="str">
        <f t="shared" si="5"/>
        <v/>
      </c>
    </row>
    <row r="25" spans="1:17" ht="37.049999999999997" customHeight="1">
      <c r="A25" s="4" t="s">
        <v>25</v>
      </c>
      <c r="B25" s="4" t="str">
        <f>VLOOKUP($A25,Tareas!$A$8:$P$63,4,FALSE)</f>
        <v>Asignar Free al registrar</v>
      </c>
      <c r="C25" s="4" t="str">
        <f>VLOOKUP($A25,Tareas!$A$8:$P$63,5,FALSE)</f>
        <v>Elden</v>
      </c>
      <c r="D25" s="18">
        <f>VLOOKUP($A25,Tareas!$A$8:$P$63,7,FALSE)</f>
        <v>46289</v>
      </c>
      <c r="E25" s="18">
        <f>VLOOKUP($A25,Tareas!$A$8:$P$63,8,FALSE)</f>
        <v>46289</v>
      </c>
      <c r="F25" s="4" t="str">
        <f>VLOOKUP($A25,Tareas!$A$8:$P$63,11,FALSE)</f>
        <v>Hecha</v>
      </c>
      <c r="G25" s="26" t="str">
        <f t="shared" si="5"/>
        <v/>
      </c>
      <c r="H25" s="27" t="str">
        <f t="shared" si="5"/>
        <v/>
      </c>
      <c r="I25" s="27" t="str">
        <f t="shared" si="5"/>
        <v/>
      </c>
      <c r="J25" s="27" t="str">
        <f t="shared" si="5"/>
        <v/>
      </c>
      <c r="K25" s="27">
        <f t="shared" si="5"/>
        <v>1</v>
      </c>
      <c r="L25" s="27" t="str">
        <f t="shared" si="5"/>
        <v/>
      </c>
      <c r="M25" s="27" t="str">
        <f t="shared" si="5"/>
        <v/>
      </c>
      <c r="N25" s="27" t="str">
        <f t="shared" si="5"/>
        <v/>
      </c>
      <c r="O25" s="27" t="str">
        <f t="shared" si="5"/>
        <v/>
      </c>
      <c r="P25" s="27" t="str">
        <f t="shared" si="5"/>
        <v/>
      </c>
      <c r="Q25" s="28" t="str">
        <f t="shared" si="5"/>
        <v/>
      </c>
    </row>
    <row r="26" spans="1:17" ht="37.049999999999997" customHeight="1">
      <c r="A26" s="12" t="s">
        <v>26</v>
      </c>
      <c r="B26" s="12" t="str">
        <f>VLOOKUP($A26,Tareas!$A$8:$P$63,4,FALSE)</f>
        <v>Aplicar capacidad y límites diarios</v>
      </c>
      <c r="C26" s="12" t="str">
        <f>VLOOKUP($A26,Tareas!$A$8:$P$63,5,FALSE)</f>
        <v>Elden</v>
      </c>
      <c r="D26" s="19">
        <f>VLOOKUP($A26,Tareas!$A$8:$P$63,7,FALSE)</f>
        <v>46289</v>
      </c>
      <c r="E26" s="19">
        <f>VLOOKUP($A26,Tareas!$A$8:$P$63,8,FALSE)</f>
        <v>46289</v>
      </c>
      <c r="F26" s="12" t="str">
        <f>VLOOKUP($A26,Tareas!$A$8:$P$63,11,FALSE)</f>
        <v>Pendiente</v>
      </c>
      <c r="G26" s="29" t="str">
        <f t="shared" si="5"/>
        <v/>
      </c>
      <c r="H26" s="30" t="str">
        <f t="shared" si="5"/>
        <v/>
      </c>
      <c r="I26" s="30" t="str">
        <f t="shared" si="5"/>
        <v/>
      </c>
      <c r="J26" s="30" t="str">
        <f t="shared" si="5"/>
        <v/>
      </c>
      <c r="K26" s="30">
        <f t="shared" si="5"/>
        <v>1</v>
      </c>
      <c r="L26" s="30" t="str">
        <f t="shared" si="5"/>
        <v/>
      </c>
      <c r="M26" s="30" t="str">
        <f t="shared" si="5"/>
        <v/>
      </c>
      <c r="N26" s="30" t="str">
        <f t="shared" si="5"/>
        <v/>
      </c>
      <c r="O26" s="30" t="str">
        <f t="shared" si="5"/>
        <v/>
      </c>
      <c r="P26" s="30" t="str">
        <f t="shared" si="5"/>
        <v/>
      </c>
      <c r="Q26" s="31" t="str">
        <f t="shared" si="5"/>
        <v/>
      </c>
    </row>
    <row r="27" spans="1:17" ht="37.049999999999997" customHeight="1">
      <c r="A27" s="4" t="s">
        <v>27</v>
      </c>
      <c r="B27" s="4" t="str">
        <f>VLOOKUP($A27,Tareas!$A$8:$P$63,4,FALSE)</f>
        <v>Validar archivo y calcular SHA-256</v>
      </c>
      <c r="C27" s="4" t="str">
        <f>VLOOKUP($A27,Tareas!$A$8:$P$63,5,FALSE)</f>
        <v>Geovanny</v>
      </c>
      <c r="D27" s="18">
        <f>VLOOKUP($A27,Tareas!$A$8:$P$63,7,FALSE)</f>
        <v>46288</v>
      </c>
      <c r="E27" s="18">
        <f>VLOOKUP($A27,Tareas!$A$8:$P$63,8,FALSE)</f>
        <v>46288</v>
      </c>
      <c r="F27" s="4" t="str">
        <f>VLOOKUP($A27,Tareas!$A$8:$P$63,11,FALSE)</f>
        <v>Pendiente</v>
      </c>
      <c r="G27" s="26" t="str">
        <f t="shared" si="5"/>
        <v/>
      </c>
      <c r="H27" s="27" t="str">
        <f t="shared" si="5"/>
        <v/>
      </c>
      <c r="I27" s="27" t="str">
        <f t="shared" si="5"/>
        <v/>
      </c>
      <c r="J27" s="27" t="str">
        <f t="shared" si="5"/>
        <v/>
      </c>
      <c r="K27" s="27">
        <f t="shared" si="5"/>
        <v>1</v>
      </c>
      <c r="L27" s="27" t="str">
        <f t="shared" si="5"/>
        <v/>
      </c>
      <c r="M27" s="27" t="str">
        <f t="shared" si="5"/>
        <v/>
      </c>
      <c r="N27" s="27" t="str">
        <f t="shared" si="5"/>
        <v/>
      </c>
      <c r="O27" s="27" t="str">
        <f t="shared" si="5"/>
        <v/>
      </c>
      <c r="P27" s="27" t="str">
        <f t="shared" si="5"/>
        <v/>
      </c>
      <c r="Q27" s="28" t="str">
        <f t="shared" si="5"/>
        <v/>
      </c>
    </row>
    <row r="28" spans="1:17" ht="37.049999999999997" customHeight="1">
      <c r="A28" s="12" t="s">
        <v>28</v>
      </c>
      <c r="B28" s="12" t="str">
        <f>VLOOKUP($A28,Tareas!$A$8:$P$63,4,FALSE)</f>
        <v>Convertir a WebP y limpiar temporales</v>
      </c>
      <c r="C28" s="12" t="str">
        <f>VLOOKUP($A28,Tareas!$A$8:$P$63,5,FALSE)</f>
        <v>Geovanny</v>
      </c>
      <c r="D28" s="19">
        <f>VLOOKUP($A28,Tareas!$A$8:$P$63,7,FALSE)</f>
        <v>46289</v>
      </c>
      <c r="E28" s="19">
        <f>VLOOKUP($A28,Tareas!$A$8:$P$63,8,FALSE)</f>
        <v>46289</v>
      </c>
      <c r="F28" s="12" t="str">
        <f>VLOOKUP($A28,Tareas!$A$8:$P$63,11,FALSE)</f>
        <v>Pendiente</v>
      </c>
      <c r="G28" s="29" t="str">
        <f t="shared" si="5"/>
        <v/>
      </c>
      <c r="H28" s="30" t="str">
        <f t="shared" si="5"/>
        <v/>
      </c>
      <c r="I28" s="30" t="str">
        <f t="shared" si="5"/>
        <v/>
      </c>
      <c r="J28" s="30" t="str">
        <f t="shared" si="5"/>
        <v/>
      </c>
      <c r="K28" s="30">
        <f t="shared" si="5"/>
        <v>1</v>
      </c>
      <c r="L28" s="30" t="str">
        <f t="shared" si="5"/>
        <v/>
      </c>
      <c r="M28" s="30" t="str">
        <f t="shared" si="5"/>
        <v/>
      </c>
      <c r="N28" s="30" t="str">
        <f t="shared" si="5"/>
        <v/>
      </c>
      <c r="O28" s="30" t="str">
        <f t="shared" si="5"/>
        <v/>
      </c>
      <c r="P28" s="30" t="str">
        <f t="shared" si="5"/>
        <v/>
      </c>
      <c r="Q28" s="31" t="str">
        <f t="shared" si="5"/>
        <v/>
      </c>
    </row>
    <row r="29" spans="1:17" ht="37.049999999999997" customHeight="1">
      <c r="A29" s="4" t="s">
        <v>29</v>
      </c>
      <c r="B29" s="4" t="str">
        <f>VLOOKUP($A29,Tareas!$A$8:$P$63,4,FALSE)</f>
        <v>Integrar carga y deduplicación global</v>
      </c>
      <c r="C29" s="4" t="str">
        <f>VLOOKUP($A29,Tareas!$A$8:$P$63,5,FALSE)</f>
        <v>Geovanny</v>
      </c>
      <c r="D29" s="18">
        <f>VLOOKUP($A29,Tareas!$A$8:$P$63,7,FALSE)</f>
        <v>46289</v>
      </c>
      <c r="E29" s="18">
        <f>VLOOKUP($A29,Tareas!$A$8:$P$63,8,FALSE)</f>
        <v>46289</v>
      </c>
      <c r="F29" s="4" t="str">
        <f>VLOOKUP($A29,Tareas!$A$8:$P$63,11,FALSE)</f>
        <v>Pendiente</v>
      </c>
      <c r="G29" s="26" t="str">
        <f t="shared" si="5"/>
        <v/>
      </c>
      <c r="H29" s="27" t="str">
        <f t="shared" si="5"/>
        <v/>
      </c>
      <c r="I29" s="27" t="str">
        <f t="shared" si="5"/>
        <v/>
      </c>
      <c r="J29" s="27" t="str">
        <f t="shared" si="5"/>
        <v/>
      </c>
      <c r="K29" s="27">
        <f t="shared" si="5"/>
        <v>1</v>
      </c>
      <c r="L29" s="27" t="str">
        <f t="shared" si="5"/>
        <v/>
      </c>
      <c r="M29" s="27" t="str">
        <f t="shared" si="5"/>
        <v/>
      </c>
      <c r="N29" s="27" t="str">
        <f t="shared" si="5"/>
        <v/>
      </c>
      <c r="O29" s="27" t="str">
        <f t="shared" si="5"/>
        <v/>
      </c>
      <c r="P29" s="27" t="str">
        <f t="shared" si="5"/>
        <v/>
      </c>
      <c r="Q29" s="28" t="str">
        <f t="shared" si="5"/>
        <v/>
      </c>
    </row>
    <row r="30" spans="1:17" ht="37.049999999999997" customHeight="1">
      <c r="A30" s="12" t="s">
        <v>30</v>
      </c>
      <c r="B30" s="12" t="str">
        <f>VLOOKUP($A30,Tareas!$A$8:$P$63,4,FALSE)</f>
        <v>Proteger galería y descarga WebP</v>
      </c>
      <c r="C30" s="12" t="str">
        <f>VLOOKUP($A30,Tareas!$A$8:$P$63,5,FALSE)</f>
        <v>Geovanny</v>
      </c>
      <c r="D30" s="19">
        <f>VLOOKUP($A30,Tareas!$A$8:$P$63,7,FALSE)</f>
        <v>46290</v>
      </c>
      <c r="E30" s="19">
        <f>VLOOKUP($A30,Tareas!$A$8:$P$63,8,FALSE)</f>
        <v>46290</v>
      </c>
      <c r="F30" s="12" t="str">
        <f>VLOOKUP($A30,Tareas!$A$8:$P$63,11,FALSE)</f>
        <v>Pendiente</v>
      </c>
      <c r="G30" s="29" t="str">
        <f t="shared" si="5"/>
        <v/>
      </c>
      <c r="H30" s="30" t="str">
        <f t="shared" si="5"/>
        <v/>
      </c>
      <c r="I30" s="30" t="str">
        <f t="shared" si="5"/>
        <v/>
      </c>
      <c r="J30" s="30" t="str">
        <f t="shared" si="5"/>
        <v/>
      </c>
      <c r="K30" s="30">
        <f t="shared" si="5"/>
        <v>1</v>
      </c>
      <c r="L30" s="30" t="str">
        <f t="shared" si="5"/>
        <v/>
      </c>
      <c r="M30" s="30" t="str">
        <f t="shared" si="5"/>
        <v/>
      </c>
      <c r="N30" s="30" t="str">
        <f t="shared" si="5"/>
        <v/>
      </c>
      <c r="O30" s="30" t="str">
        <f t="shared" si="5"/>
        <v/>
      </c>
      <c r="P30" s="30" t="str">
        <f t="shared" si="5"/>
        <v/>
      </c>
      <c r="Q30" s="31" t="str">
        <f t="shared" si="5"/>
        <v/>
      </c>
    </row>
    <row r="31" spans="1:17" ht="37.049999999999997" customHeight="1">
      <c r="A31" s="4" t="s">
        <v>31</v>
      </c>
      <c r="B31" s="4" t="str">
        <f>VLOOKUP($A31,Tareas!$A$8:$P$63,4,FALSE)</f>
        <v>Preparar formularios y estados de interfaz</v>
      </c>
      <c r="C31" s="4" t="str">
        <f>VLOOKUP($A31,Tareas!$A$8:$P$63,5,FALSE)</f>
        <v>Diego</v>
      </c>
      <c r="D31" s="18">
        <f>VLOOKUP($A31,Tareas!$A$8:$P$63,7,FALSE)</f>
        <v>46288</v>
      </c>
      <c r="E31" s="18">
        <f>VLOOKUP($A31,Tareas!$A$8:$P$63,8,FALSE)</f>
        <v>46288</v>
      </c>
      <c r="F31" s="4" t="str">
        <f>VLOOKUP($A31,Tareas!$A$8:$P$63,11,FALSE)</f>
        <v>Pendiente</v>
      </c>
      <c r="G31" s="26" t="str">
        <f t="shared" ref="G31:Q36" si="6">IF(AND(G$7&lt;=$E31,G$7+6&gt;=$D31),1,"")</f>
        <v/>
      </c>
      <c r="H31" s="27" t="str">
        <f t="shared" si="6"/>
        <v/>
      </c>
      <c r="I31" s="27" t="str">
        <f t="shared" si="6"/>
        <v/>
      </c>
      <c r="J31" s="27" t="str">
        <f t="shared" si="6"/>
        <v/>
      </c>
      <c r="K31" s="27">
        <f t="shared" si="6"/>
        <v>1</v>
      </c>
      <c r="L31" s="27" t="str">
        <f t="shared" si="6"/>
        <v/>
      </c>
      <c r="M31" s="27" t="str">
        <f t="shared" si="6"/>
        <v/>
      </c>
      <c r="N31" s="27" t="str">
        <f t="shared" si="6"/>
        <v/>
      </c>
      <c r="O31" s="27" t="str">
        <f t="shared" si="6"/>
        <v/>
      </c>
      <c r="P31" s="27" t="str">
        <f t="shared" si="6"/>
        <v/>
      </c>
      <c r="Q31" s="28" t="str">
        <f t="shared" si="6"/>
        <v/>
      </c>
    </row>
    <row r="32" spans="1:17" ht="37.049999999999997" customHeight="1">
      <c r="A32" s="12" t="s">
        <v>32</v>
      </c>
      <c r="B32" s="12" t="str">
        <f>VLOOKUP($A32,Tareas!$A$8:$P$63,4,FALSE)</f>
        <v>Conectar acceso, Free, carga y galería</v>
      </c>
      <c r="C32" s="12" t="str">
        <f>VLOOKUP($A32,Tareas!$A$8:$P$63,5,FALSE)</f>
        <v>Diego</v>
      </c>
      <c r="D32" s="19">
        <f>VLOOKUP($A32,Tareas!$A$8:$P$63,7,FALSE)</f>
        <v>46289</v>
      </c>
      <c r="E32" s="19">
        <f>VLOOKUP($A32,Tareas!$A$8:$P$63,8,FALSE)</f>
        <v>46290</v>
      </c>
      <c r="F32" s="12" t="str">
        <f>VLOOKUP($A32,Tareas!$A$8:$P$63,11,FALSE)</f>
        <v>Pendiente</v>
      </c>
      <c r="G32" s="29" t="str">
        <f t="shared" si="6"/>
        <v/>
      </c>
      <c r="H32" s="30" t="str">
        <f t="shared" si="6"/>
        <v/>
      </c>
      <c r="I32" s="30" t="str">
        <f t="shared" si="6"/>
        <v/>
      </c>
      <c r="J32" s="30" t="str">
        <f t="shared" si="6"/>
        <v/>
      </c>
      <c r="K32" s="30">
        <f t="shared" si="6"/>
        <v>1</v>
      </c>
      <c r="L32" s="30" t="str">
        <f t="shared" si="6"/>
        <v/>
      </c>
      <c r="M32" s="30" t="str">
        <f t="shared" si="6"/>
        <v/>
      </c>
      <c r="N32" s="30" t="str">
        <f t="shared" si="6"/>
        <v/>
      </c>
      <c r="O32" s="30" t="str">
        <f t="shared" si="6"/>
        <v/>
      </c>
      <c r="P32" s="30" t="str">
        <f t="shared" si="6"/>
        <v/>
      </c>
      <c r="Q32" s="31" t="str">
        <f t="shared" si="6"/>
        <v/>
      </c>
    </row>
    <row r="33" spans="1:17" ht="37.049999999999997" customHeight="1">
      <c r="A33" s="4" t="s">
        <v>33</v>
      </c>
      <c r="B33" s="4" t="str">
        <f>VLOOKUP($A33,Tareas!$A$8:$P$63,4,FALSE)</f>
        <v>Calcular ahorro básico del administrador</v>
      </c>
      <c r="C33" s="4" t="str">
        <f>VLOOKUP($A33,Tareas!$A$8:$P$63,5,FALSE)</f>
        <v>Geovanny</v>
      </c>
      <c r="D33" s="18">
        <f>VLOOKUP($A33,Tareas!$A$8:$P$63,7,FALSE)</f>
        <v>46290</v>
      </c>
      <c r="E33" s="18">
        <f>VLOOKUP($A33,Tareas!$A$8:$P$63,8,FALSE)</f>
        <v>46290</v>
      </c>
      <c r="F33" s="4" t="str">
        <f>VLOOKUP($A33,Tareas!$A$8:$P$63,11,FALSE)</f>
        <v>Pendiente</v>
      </c>
      <c r="G33" s="26" t="str">
        <f t="shared" si="6"/>
        <v/>
      </c>
      <c r="H33" s="27" t="str">
        <f t="shared" si="6"/>
        <v/>
      </c>
      <c r="I33" s="27" t="str">
        <f t="shared" si="6"/>
        <v/>
      </c>
      <c r="J33" s="27" t="str">
        <f t="shared" si="6"/>
        <v/>
      </c>
      <c r="K33" s="27">
        <f t="shared" si="6"/>
        <v>1</v>
      </c>
      <c r="L33" s="27" t="str">
        <f t="shared" si="6"/>
        <v/>
      </c>
      <c r="M33" s="27" t="str">
        <f t="shared" si="6"/>
        <v/>
      </c>
      <c r="N33" s="27" t="str">
        <f t="shared" si="6"/>
        <v/>
      </c>
      <c r="O33" s="27" t="str">
        <f t="shared" si="6"/>
        <v/>
      </c>
      <c r="P33" s="27" t="str">
        <f t="shared" si="6"/>
        <v/>
      </c>
      <c r="Q33" s="28" t="str">
        <f t="shared" si="6"/>
        <v/>
      </c>
    </row>
    <row r="34" spans="1:17" ht="37.049999999999997" customHeight="1">
      <c r="A34" s="12" t="s">
        <v>34</v>
      </c>
      <c r="B34" s="12" t="str">
        <f>VLOOKUP($A34,Tareas!$A$8:$P$63,4,FALSE)</f>
        <v>Actualizar requisitos y diagramas</v>
      </c>
      <c r="C34" s="12" t="str">
        <f>VLOOKUP($A34,Tareas!$A$8:$P$63,5,FALSE)</f>
        <v>Equipo</v>
      </c>
      <c r="D34" s="19">
        <f>VLOOKUP($A34,Tareas!$A$8:$P$63,7,FALSE)</f>
        <v>46288</v>
      </c>
      <c r="E34" s="19">
        <f>VLOOKUP($A34,Tareas!$A$8:$P$63,8,FALSE)</f>
        <v>46289</v>
      </c>
      <c r="F34" s="12" t="str">
        <f>VLOOKUP($A34,Tareas!$A$8:$P$63,11,FALSE)</f>
        <v>Pendiente</v>
      </c>
      <c r="G34" s="29" t="str">
        <f t="shared" si="6"/>
        <v/>
      </c>
      <c r="H34" s="30" t="str">
        <f t="shared" si="6"/>
        <v/>
      </c>
      <c r="I34" s="30" t="str">
        <f t="shared" si="6"/>
        <v/>
      </c>
      <c r="J34" s="30" t="str">
        <f t="shared" si="6"/>
        <v/>
      </c>
      <c r="K34" s="30">
        <f t="shared" si="6"/>
        <v>1</v>
      </c>
      <c r="L34" s="30" t="str">
        <f t="shared" si="6"/>
        <v/>
      </c>
      <c r="M34" s="30" t="str">
        <f t="shared" si="6"/>
        <v/>
      </c>
      <c r="N34" s="30" t="str">
        <f t="shared" si="6"/>
        <v/>
      </c>
      <c r="O34" s="30" t="str">
        <f t="shared" si="6"/>
        <v/>
      </c>
      <c r="P34" s="30" t="str">
        <f t="shared" si="6"/>
        <v/>
      </c>
      <c r="Q34" s="31" t="str">
        <f t="shared" si="6"/>
        <v/>
      </c>
    </row>
    <row r="35" spans="1:17" ht="37.049999999999997" customHeight="1">
      <c r="A35" s="4" t="s">
        <v>35</v>
      </c>
      <c r="B35" s="4" t="str">
        <f>VLOOKUP($A35,Tareas!$A$8:$P$63,4,FALSE)</f>
        <v>Probar flujo del 30% con dos cuentas</v>
      </c>
      <c r="C35" s="4" t="str">
        <f>VLOOKUP($A35,Tareas!$A$8:$P$63,5,FALSE)</f>
        <v>Equipo</v>
      </c>
      <c r="D35" s="18">
        <f>VLOOKUP($A35,Tareas!$A$8:$P$63,7,FALSE)</f>
        <v>46290</v>
      </c>
      <c r="E35" s="18">
        <f>VLOOKUP($A35,Tareas!$A$8:$P$63,8,FALSE)</f>
        <v>46290</v>
      </c>
      <c r="F35" s="4" t="str">
        <f>VLOOKUP($A35,Tareas!$A$8:$P$63,11,FALSE)</f>
        <v>Pendiente</v>
      </c>
      <c r="G35" s="26" t="str">
        <f t="shared" si="6"/>
        <v/>
      </c>
      <c r="H35" s="27" t="str">
        <f t="shared" si="6"/>
        <v/>
      </c>
      <c r="I35" s="27" t="str">
        <f t="shared" si="6"/>
        <v/>
      </c>
      <c r="J35" s="27" t="str">
        <f t="shared" si="6"/>
        <v/>
      </c>
      <c r="K35" s="27">
        <f t="shared" si="6"/>
        <v>1</v>
      </c>
      <c r="L35" s="27" t="str">
        <f t="shared" si="6"/>
        <v/>
      </c>
      <c r="M35" s="27" t="str">
        <f t="shared" si="6"/>
        <v/>
      </c>
      <c r="N35" s="27" t="str">
        <f t="shared" si="6"/>
        <v/>
      </c>
      <c r="O35" s="27" t="str">
        <f t="shared" si="6"/>
        <v/>
      </c>
      <c r="P35" s="27" t="str">
        <f t="shared" si="6"/>
        <v/>
      </c>
      <c r="Q35" s="28" t="str">
        <f t="shared" si="6"/>
        <v/>
      </c>
    </row>
    <row r="36" spans="1:17" ht="37.049999999999997" customHeight="1">
      <c r="A36" s="12" t="s">
        <v>36</v>
      </c>
      <c r="B36" s="12" t="str">
        <f>VLOOKUP($A36,Tareas!$A$8:$P$63,4,FALSE)</f>
        <v>Corregir, revisar PR y presentar 30%</v>
      </c>
      <c r="C36" s="12" t="str">
        <f>VLOOKUP($A36,Tareas!$A$8:$P$63,5,FALSE)</f>
        <v>Equipo</v>
      </c>
      <c r="D36" s="19">
        <f>VLOOKUP($A36,Tareas!$A$8:$P$63,7,FALSE)</f>
        <v>46290</v>
      </c>
      <c r="E36" s="19">
        <f>VLOOKUP($A36,Tareas!$A$8:$P$63,8,FALSE)</f>
        <v>46290</v>
      </c>
      <c r="F36" s="12" t="str">
        <f>VLOOKUP($A36,Tareas!$A$8:$P$63,11,FALSE)</f>
        <v>Pendiente</v>
      </c>
      <c r="G36" s="29" t="str">
        <f t="shared" si="6"/>
        <v/>
      </c>
      <c r="H36" s="30" t="str">
        <f t="shared" si="6"/>
        <v/>
      </c>
      <c r="I36" s="30" t="str">
        <f t="shared" si="6"/>
        <v/>
      </c>
      <c r="J36" s="30" t="str">
        <f t="shared" si="6"/>
        <v/>
      </c>
      <c r="K36" s="30">
        <f t="shared" si="6"/>
        <v>1</v>
      </c>
      <c r="L36" s="30" t="str">
        <f t="shared" si="6"/>
        <v/>
      </c>
      <c r="M36" s="30" t="str">
        <f t="shared" si="6"/>
        <v/>
      </c>
      <c r="N36" s="30" t="str">
        <f t="shared" si="6"/>
        <v/>
      </c>
      <c r="O36" s="30" t="str">
        <f t="shared" si="6"/>
        <v/>
      </c>
      <c r="P36" s="30" t="str">
        <f t="shared" si="6"/>
        <v/>
      </c>
      <c r="Q36" s="31" t="str">
        <f t="shared" si="6"/>
        <v/>
      </c>
    </row>
    <row r="37" spans="1:17" ht="37.049999999999997" customHeight="1">
      <c r="A37" s="16" t="str">
        <f>'Entregas y equipo'!A11</f>
        <v>S3</v>
      </c>
      <c r="B37" s="16" t="str">
        <f>'Entregas y equipo'!B11</f>
        <v>Avance funcional 2 (50%)</v>
      </c>
      <c r="C37" s="16" t="str">
        <f>"Equipo"</f>
        <v>Equipo</v>
      </c>
      <c r="D37" s="17">
        <f>'Entregas y equipo'!C11</f>
        <v>46291</v>
      </c>
      <c r="E37" s="17">
        <f>'Entregas y equipo'!D11</f>
        <v>46304</v>
      </c>
      <c r="F37" s="16" t="str">
        <f>"Hito previsto"</f>
        <v>Hito previsto</v>
      </c>
      <c r="G37" s="23" t="str">
        <f t="shared" ref="G37:Q37" si="7">IF(AND(G$7&lt;=$E37,G$7+6&gt;=$E37),"H",IF(AND(G$7&lt;=$E37,G$7+6&gt;=$D37),1,""))</f>
        <v/>
      </c>
      <c r="H37" s="24" t="str">
        <f t="shared" si="7"/>
        <v/>
      </c>
      <c r="I37" s="24" t="str">
        <f t="shared" si="7"/>
        <v/>
      </c>
      <c r="J37" s="24" t="str">
        <f t="shared" si="7"/>
        <v/>
      </c>
      <c r="K37" s="24">
        <f t="shared" si="7"/>
        <v>1</v>
      </c>
      <c r="L37" s="24">
        <f t="shared" si="7"/>
        <v>1</v>
      </c>
      <c r="M37" s="24" t="str">
        <f t="shared" si="7"/>
        <v>H</v>
      </c>
      <c r="N37" s="24" t="str">
        <f t="shared" si="7"/>
        <v/>
      </c>
      <c r="O37" s="24" t="str">
        <f t="shared" si="7"/>
        <v/>
      </c>
      <c r="P37" s="24" t="str">
        <f t="shared" si="7"/>
        <v/>
      </c>
      <c r="Q37" s="25" t="str">
        <f t="shared" si="7"/>
        <v/>
      </c>
    </row>
    <row r="38" spans="1:17" ht="37.049999999999997" customHeight="1">
      <c r="A38" s="12" t="s">
        <v>37</v>
      </c>
      <c r="B38" s="12" t="str">
        <f>VLOOKUP($A38,Tareas!$A$8:$P$63,4,FALSE)</f>
        <v>Implementar verificación de correo</v>
      </c>
      <c r="C38" s="12" t="str">
        <f>VLOOKUP($A38,Tareas!$A$8:$P$63,5,FALSE)</f>
        <v>Andy</v>
      </c>
      <c r="D38" s="19">
        <f>VLOOKUP($A38,Tareas!$A$8:$P$63,7,FALSE)</f>
        <v>46293</v>
      </c>
      <c r="E38" s="19">
        <f>VLOOKUP($A38,Tareas!$A$8:$P$63,8,FALSE)</f>
        <v>46295</v>
      </c>
      <c r="F38" s="12" t="str">
        <f>VLOOKUP($A38,Tareas!$A$8:$P$63,11,FALSE)</f>
        <v>Planificada</v>
      </c>
      <c r="G38" s="29" t="str">
        <f t="shared" ref="G38:Q49" si="8">IF(AND(G$7&lt;=$E38,G$7+6&gt;=$D38),1,"")</f>
        <v/>
      </c>
      <c r="H38" s="30" t="str">
        <f t="shared" si="8"/>
        <v/>
      </c>
      <c r="I38" s="30" t="str">
        <f t="shared" si="8"/>
        <v/>
      </c>
      <c r="J38" s="30" t="str">
        <f t="shared" si="8"/>
        <v/>
      </c>
      <c r="K38" s="30" t="str">
        <f t="shared" si="8"/>
        <v/>
      </c>
      <c r="L38" s="30">
        <f t="shared" si="8"/>
        <v>1</v>
      </c>
      <c r="M38" s="30" t="str">
        <f t="shared" si="8"/>
        <v/>
      </c>
      <c r="N38" s="30" t="str">
        <f t="shared" si="8"/>
        <v/>
      </c>
      <c r="O38" s="30" t="str">
        <f t="shared" si="8"/>
        <v/>
      </c>
      <c r="P38" s="30" t="str">
        <f t="shared" si="8"/>
        <v/>
      </c>
      <c r="Q38" s="31" t="str">
        <f t="shared" si="8"/>
        <v/>
      </c>
    </row>
    <row r="39" spans="1:17" ht="37.049999999999997" customHeight="1">
      <c r="A39" s="4" t="s">
        <v>38</v>
      </c>
      <c r="B39" s="4" t="str">
        <f>VLOOKUP($A39,Tareas!$A$8:$P$63,4,FALSE)</f>
        <v>Recuperar y cambiar contraseña</v>
      </c>
      <c r="C39" s="4" t="str">
        <f>VLOOKUP($A39,Tareas!$A$8:$P$63,5,FALSE)</f>
        <v>Andy</v>
      </c>
      <c r="D39" s="18">
        <f>VLOOKUP($A39,Tareas!$A$8:$P$63,7,FALSE)</f>
        <v>46296</v>
      </c>
      <c r="E39" s="18">
        <f>VLOOKUP($A39,Tareas!$A$8:$P$63,8,FALSE)</f>
        <v>46300</v>
      </c>
      <c r="F39" s="4" t="str">
        <f>VLOOKUP($A39,Tareas!$A$8:$P$63,11,FALSE)</f>
        <v>Planificada</v>
      </c>
      <c r="G39" s="26" t="str">
        <f t="shared" si="8"/>
        <v/>
      </c>
      <c r="H39" s="27" t="str">
        <f t="shared" si="8"/>
        <v/>
      </c>
      <c r="I39" s="27" t="str">
        <f t="shared" si="8"/>
        <v/>
      </c>
      <c r="J39" s="27" t="str">
        <f t="shared" si="8"/>
        <v/>
      </c>
      <c r="K39" s="27" t="str">
        <f t="shared" si="8"/>
        <v/>
      </c>
      <c r="L39" s="27">
        <f t="shared" si="8"/>
        <v>1</v>
      </c>
      <c r="M39" s="27">
        <f t="shared" si="8"/>
        <v>1</v>
      </c>
      <c r="N39" s="27" t="str">
        <f t="shared" si="8"/>
        <v/>
      </c>
      <c r="O39" s="27" t="str">
        <f t="shared" si="8"/>
        <v/>
      </c>
      <c r="P39" s="27" t="str">
        <f t="shared" si="8"/>
        <v/>
      </c>
      <c r="Q39" s="28" t="str">
        <f t="shared" si="8"/>
        <v/>
      </c>
    </row>
    <row r="40" spans="1:17" ht="37.049999999999997" customHeight="1">
      <c r="A40" s="12" t="s">
        <v>39</v>
      </c>
      <c r="B40" s="12" t="str">
        <f>VLOOKUP($A40,Tareas!$A$8:$P$63,4,FALSE)</f>
        <v>Completar sesiones revocables y logout</v>
      </c>
      <c r="C40" s="12" t="str">
        <f>VLOOKUP($A40,Tareas!$A$8:$P$63,5,FALSE)</f>
        <v>Andy</v>
      </c>
      <c r="D40" s="19">
        <f>VLOOKUP($A40,Tareas!$A$8:$P$63,7,FALSE)</f>
        <v>46301</v>
      </c>
      <c r="E40" s="19">
        <f>VLOOKUP($A40,Tareas!$A$8:$P$63,8,FALSE)</f>
        <v>46302</v>
      </c>
      <c r="F40" s="12" t="str">
        <f>VLOOKUP($A40,Tareas!$A$8:$P$63,11,FALSE)</f>
        <v>Planificada</v>
      </c>
      <c r="G40" s="29" t="str">
        <f t="shared" si="8"/>
        <v/>
      </c>
      <c r="H40" s="30" t="str">
        <f t="shared" si="8"/>
        <v/>
      </c>
      <c r="I40" s="30" t="str">
        <f t="shared" si="8"/>
        <v/>
      </c>
      <c r="J40" s="30" t="str">
        <f t="shared" si="8"/>
        <v/>
      </c>
      <c r="K40" s="30" t="str">
        <f t="shared" si="8"/>
        <v/>
      </c>
      <c r="L40" s="30" t="str">
        <f t="shared" si="8"/>
        <v/>
      </c>
      <c r="M40" s="30">
        <f t="shared" si="8"/>
        <v>1</v>
      </c>
      <c r="N40" s="30" t="str">
        <f t="shared" si="8"/>
        <v/>
      </c>
      <c r="O40" s="30" t="str">
        <f t="shared" si="8"/>
        <v/>
      </c>
      <c r="P40" s="30" t="str">
        <f t="shared" si="8"/>
        <v/>
      </c>
      <c r="Q40" s="31" t="str">
        <f t="shared" si="8"/>
        <v/>
      </c>
    </row>
    <row r="41" spans="1:17" ht="37.049999999999997" customHeight="1">
      <c r="A41" s="4" t="s">
        <v>40</v>
      </c>
      <c r="B41" s="4" t="str">
        <f>VLOOKUP($A41,Tareas!$A$8:$P$63,4,FALSE)</f>
        <v>Implementar Redis, BullMQ y worker Sharp</v>
      </c>
      <c r="C41" s="4" t="str">
        <f>VLOOKUP($A41,Tareas!$A$8:$P$63,5,FALSE)</f>
        <v>Geovanny</v>
      </c>
      <c r="D41" s="18">
        <f>VLOOKUP($A41,Tareas!$A$8:$P$63,7,FALSE)</f>
        <v>46293</v>
      </c>
      <c r="E41" s="18">
        <f>VLOOKUP($A41,Tareas!$A$8:$P$63,8,FALSE)</f>
        <v>46296</v>
      </c>
      <c r="F41" s="4" t="str">
        <f>VLOOKUP($A41,Tareas!$A$8:$P$63,11,FALSE)</f>
        <v>Planificada</v>
      </c>
      <c r="G41" s="26" t="str">
        <f t="shared" si="8"/>
        <v/>
      </c>
      <c r="H41" s="27" t="str">
        <f t="shared" si="8"/>
        <v/>
      </c>
      <c r="I41" s="27" t="str">
        <f t="shared" si="8"/>
        <v/>
      </c>
      <c r="J41" s="27" t="str">
        <f t="shared" si="8"/>
        <v/>
      </c>
      <c r="K41" s="27" t="str">
        <f t="shared" si="8"/>
        <v/>
      </c>
      <c r="L41" s="27">
        <f t="shared" si="8"/>
        <v>1</v>
      </c>
      <c r="M41" s="27" t="str">
        <f t="shared" si="8"/>
        <v/>
      </c>
      <c r="N41" s="27" t="str">
        <f t="shared" si="8"/>
        <v/>
      </c>
      <c r="O41" s="27" t="str">
        <f t="shared" si="8"/>
        <v/>
      </c>
      <c r="P41" s="27" t="str">
        <f t="shared" si="8"/>
        <v/>
      </c>
      <c r="Q41" s="28" t="str">
        <f t="shared" si="8"/>
        <v/>
      </c>
    </row>
    <row r="42" spans="1:17" ht="37.049999999999997" customHeight="1">
      <c r="A42" s="12" t="s">
        <v>41</v>
      </c>
      <c r="B42" s="12" t="str">
        <f>VLOOKUP($A42,Tareas!$A$8:$P$63,4,FALSE)</f>
        <v>Añadir reintentos y recuperación de trabajos</v>
      </c>
      <c r="C42" s="12" t="str">
        <f>VLOOKUP($A42,Tareas!$A$8:$P$63,5,FALSE)</f>
        <v>Geovanny</v>
      </c>
      <c r="D42" s="19">
        <f>VLOOKUP($A42,Tareas!$A$8:$P$63,7,FALSE)</f>
        <v>46297</v>
      </c>
      <c r="E42" s="19">
        <f>VLOOKUP($A42,Tareas!$A$8:$P$63,8,FALSE)</f>
        <v>46300</v>
      </c>
      <c r="F42" s="12" t="str">
        <f>VLOOKUP($A42,Tareas!$A$8:$P$63,11,FALSE)</f>
        <v>Planificada</v>
      </c>
      <c r="G42" s="29" t="str">
        <f t="shared" si="8"/>
        <v/>
      </c>
      <c r="H42" s="30" t="str">
        <f t="shared" si="8"/>
        <v/>
      </c>
      <c r="I42" s="30" t="str">
        <f t="shared" si="8"/>
        <v/>
      </c>
      <c r="J42" s="30" t="str">
        <f t="shared" si="8"/>
        <v/>
      </c>
      <c r="K42" s="30" t="str">
        <f t="shared" si="8"/>
        <v/>
      </c>
      <c r="L42" s="30">
        <f t="shared" si="8"/>
        <v>1</v>
      </c>
      <c r="M42" s="30">
        <f t="shared" si="8"/>
        <v>1</v>
      </c>
      <c r="N42" s="30" t="str">
        <f t="shared" si="8"/>
        <v/>
      </c>
      <c r="O42" s="30" t="str">
        <f t="shared" si="8"/>
        <v/>
      </c>
      <c r="P42" s="30" t="str">
        <f t="shared" si="8"/>
        <v/>
      </c>
      <c r="Q42" s="31" t="str">
        <f t="shared" si="8"/>
        <v/>
      </c>
    </row>
    <row r="43" spans="1:17" ht="37.049999999999997" customHeight="1">
      <c r="A43" s="4" t="s">
        <v>42</v>
      </c>
      <c r="B43" s="4" t="str">
        <f>VLOOKUP($A43,Tareas!$A$8:$P$63,4,FALSE)</f>
        <v>Implementar borrado con referencias</v>
      </c>
      <c r="C43" s="4" t="str">
        <f>VLOOKUP($A43,Tareas!$A$8:$P$63,5,FALSE)</f>
        <v>Geovanny</v>
      </c>
      <c r="D43" s="18">
        <f>VLOOKUP($A43,Tareas!$A$8:$P$63,7,FALSE)</f>
        <v>46301</v>
      </c>
      <c r="E43" s="18">
        <f>VLOOKUP($A43,Tareas!$A$8:$P$63,8,FALSE)</f>
        <v>46301</v>
      </c>
      <c r="F43" s="4" t="str">
        <f>VLOOKUP($A43,Tareas!$A$8:$P$63,11,FALSE)</f>
        <v>Planificada</v>
      </c>
      <c r="G43" s="26" t="str">
        <f t="shared" si="8"/>
        <v/>
      </c>
      <c r="H43" s="27" t="str">
        <f t="shared" si="8"/>
        <v/>
      </c>
      <c r="I43" s="27" t="str">
        <f t="shared" si="8"/>
        <v/>
      </c>
      <c r="J43" s="27" t="str">
        <f t="shared" si="8"/>
        <v/>
      </c>
      <c r="K43" s="27" t="str">
        <f t="shared" si="8"/>
        <v/>
      </c>
      <c r="L43" s="27" t="str">
        <f t="shared" si="8"/>
        <v/>
      </c>
      <c r="M43" s="27">
        <f t="shared" si="8"/>
        <v>1</v>
      </c>
      <c r="N43" s="27" t="str">
        <f t="shared" si="8"/>
        <v/>
      </c>
      <c r="O43" s="27" t="str">
        <f t="shared" si="8"/>
        <v/>
      </c>
      <c r="P43" s="27" t="str">
        <f t="shared" si="8"/>
        <v/>
      </c>
      <c r="Q43" s="28" t="str">
        <f t="shared" si="8"/>
        <v/>
      </c>
    </row>
    <row r="44" spans="1:17" ht="37.049999999999997" customHeight="1">
      <c r="A44" s="12" t="s">
        <v>43</v>
      </c>
      <c r="B44" s="12" t="str">
        <f>VLOOKUP($A44,Tareas!$A$8:$P$63,4,FALSE)</f>
        <v>Crear álbumes y mover imágenes</v>
      </c>
      <c r="C44" s="12" t="str">
        <f>VLOOKUP($A44,Tareas!$A$8:$P$63,5,FALSE)</f>
        <v>Geovanny</v>
      </c>
      <c r="D44" s="19">
        <f>VLOOKUP($A44,Tareas!$A$8:$P$63,7,FALSE)</f>
        <v>46302</v>
      </c>
      <c r="E44" s="19">
        <f>VLOOKUP($A44,Tareas!$A$8:$P$63,8,FALSE)</f>
        <v>46302</v>
      </c>
      <c r="F44" s="12" t="str">
        <f>VLOOKUP($A44,Tareas!$A$8:$P$63,11,FALSE)</f>
        <v>Planificada</v>
      </c>
      <c r="G44" s="29" t="str">
        <f t="shared" si="8"/>
        <v/>
      </c>
      <c r="H44" s="30" t="str">
        <f t="shared" si="8"/>
        <v/>
      </c>
      <c r="I44" s="30" t="str">
        <f t="shared" si="8"/>
        <v/>
      </c>
      <c r="J44" s="30" t="str">
        <f t="shared" si="8"/>
        <v/>
      </c>
      <c r="K44" s="30" t="str">
        <f t="shared" si="8"/>
        <v/>
      </c>
      <c r="L44" s="30" t="str">
        <f t="shared" si="8"/>
        <v/>
      </c>
      <c r="M44" s="30">
        <f t="shared" si="8"/>
        <v>1</v>
      </c>
      <c r="N44" s="30" t="str">
        <f t="shared" si="8"/>
        <v/>
      </c>
      <c r="O44" s="30" t="str">
        <f t="shared" si="8"/>
        <v/>
      </c>
      <c r="P44" s="30" t="str">
        <f t="shared" si="8"/>
        <v/>
      </c>
      <c r="Q44" s="31" t="str">
        <f t="shared" si="8"/>
        <v/>
      </c>
    </row>
    <row r="45" spans="1:17" ht="37.049999999999997" customHeight="1">
      <c r="A45" s="4" t="s">
        <v>44</v>
      </c>
      <c r="B45" s="4" t="str">
        <f>VLOOKUP($A45,Tareas!$A$8:$P$63,4,FALSE)</f>
        <v>Integrar cuotas con trabajos asíncronos</v>
      </c>
      <c r="C45" s="4" t="str">
        <f>VLOOKUP($A45,Tareas!$A$8:$P$63,5,FALSE)</f>
        <v>Elden</v>
      </c>
      <c r="D45" s="18">
        <f>VLOOKUP($A45,Tareas!$A$8:$P$63,7,FALSE)</f>
        <v>46293</v>
      </c>
      <c r="E45" s="18">
        <f>VLOOKUP($A45,Tareas!$A$8:$P$63,8,FALSE)</f>
        <v>46300</v>
      </c>
      <c r="F45" s="4" t="str">
        <f>VLOOKUP($A45,Tareas!$A$8:$P$63,11,FALSE)</f>
        <v>Planificada</v>
      </c>
      <c r="G45" s="26" t="str">
        <f t="shared" si="8"/>
        <v/>
      </c>
      <c r="H45" s="27" t="str">
        <f t="shared" si="8"/>
        <v/>
      </c>
      <c r="I45" s="27" t="str">
        <f t="shared" si="8"/>
        <v/>
      </c>
      <c r="J45" s="27" t="str">
        <f t="shared" si="8"/>
        <v/>
      </c>
      <c r="K45" s="27" t="str">
        <f t="shared" si="8"/>
        <v/>
      </c>
      <c r="L45" s="27">
        <f t="shared" si="8"/>
        <v>1</v>
      </c>
      <c r="M45" s="27">
        <f t="shared" si="8"/>
        <v>1</v>
      </c>
      <c r="N45" s="27" t="str">
        <f t="shared" si="8"/>
        <v/>
      </c>
      <c r="O45" s="27" t="str">
        <f t="shared" si="8"/>
        <v/>
      </c>
      <c r="P45" s="27" t="str">
        <f t="shared" si="8"/>
        <v/>
      </c>
      <c r="Q45" s="28" t="str">
        <f t="shared" si="8"/>
        <v/>
      </c>
    </row>
    <row r="46" spans="1:17" ht="37.049999999999997" customHeight="1">
      <c r="A46" s="12" t="s">
        <v>45</v>
      </c>
      <c r="B46" s="12" t="str">
        <f>VLOOKUP($A46,Tareas!$A$8:$P$63,4,FALSE)</f>
        <v>Integrar cuentas y estados del procesamiento</v>
      </c>
      <c r="C46" s="12" t="str">
        <f>VLOOKUP($A46,Tareas!$A$8:$P$63,5,FALSE)</f>
        <v>Diego</v>
      </c>
      <c r="D46" s="19">
        <f>VLOOKUP($A46,Tareas!$A$8:$P$63,7,FALSE)</f>
        <v>46295</v>
      </c>
      <c r="E46" s="19">
        <f>VLOOKUP($A46,Tareas!$A$8:$P$63,8,FALSE)</f>
        <v>46302</v>
      </c>
      <c r="F46" s="12" t="str">
        <f>VLOOKUP($A46,Tareas!$A$8:$P$63,11,FALSE)</f>
        <v>Planificada</v>
      </c>
      <c r="G46" s="29" t="str">
        <f t="shared" si="8"/>
        <v/>
      </c>
      <c r="H46" s="30" t="str">
        <f t="shared" si="8"/>
        <v/>
      </c>
      <c r="I46" s="30" t="str">
        <f t="shared" si="8"/>
        <v/>
      </c>
      <c r="J46" s="30" t="str">
        <f t="shared" si="8"/>
        <v/>
      </c>
      <c r="K46" s="30" t="str">
        <f t="shared" si="8"/>
        <v/>
      </c>
      <c r="L46" s="30">
        <f t="shared" si="8"/>
        <v>1</v>
      </c>
      <c r="M46" s="30">
        <f t="shared" si="8"/>
        <v>1</v>
      </c>
      <c r="N46" s="30" t="str">
        <f t="shared" si="8"/>
        <v/>
      </c>
      <c r="O46" s="30" t="str">
        <f t="shared" si="8"/>
        <v/>
      </c>
      <c r="P46" s="30" t="str">
        <f t="shared" si="8"/>
        <v/>
      </c>
      <c r="Q46" s="31" t="str">
        <f t="shared" si="8"/>
        <v/>
      </c>
    </row>
    <row r="47" spans="1:17" ht="37.049999999999997" customHeight="1">
      <c r="A47" s="4" t="s">
        <v>46</v>
      </c>
      <c r="B47" s="4" t="str">
        <f>VLOOKUP($A47,Tareas!$A$8:$P$63,4,FALSE)</f>
        <v>Integrar álbumes y borrado</v>
      </c>
      <c r="C47" s="4" t="str">
        <f>VLOOKUP($A47,Tareas!$A$8:$P$63,5,FALSE)</f>
        <v>Diego</v>
      </c>
      <c r="D47" s="18">
        <f>VLOOKUP($A47,Tareas!$A$8:$P$63,7,FALSE)</f>
        <v>46302</v>
      </c>
      <c r="E47" s="18">
        <f>VLOOKUP($A47,Tareas!$A$8:$P$63,8,FALSE)</f>
        <v>46303</v>
      </c>
      <c r="F47" s="4" t="str">
        <f>VLOOKUP($A47,Tareas!$A$8:$P$63,11,FALSE)</f>
        <v>Planificada</v>
      </c>
      <c r="G47" s="26" t="str">
        <f t="shared" si="8"/>
        <v/>
      </c>
      <c r="H47" s="27" t="str">
        <f t="shared" si="8"/>
        <v/>
      </c>
      <c r="I47" s="27" t="str">
        <f t="shared" si="8"/>
        <v/>
      </c>
      <c r="J47" s="27" t="str">
        <f t="shared" si="8"/>
        <v/>
      </c>
      <c r="K47" s="27" t="str">
        <f t="shared" si="8"/>
        <v/>
      </c>
      <c r="L47" s="27" t="str">
        <f t="shared" si="8"/>
        <v/>
      </c>
      <c r="M47" s="27">
        <f t="shared" si="8"/>
        <v>1</v>
      </c>
      <c r="N47" s="27" t="str">
        <f t="shared" si="8"/>
        <v/>
      </c>
      <c r="O47" s="27" t="str">
        <f t="shared" si="8"/>
        <v/>
      </c>
      <c r="P47" s="27" t="str">
        <f t="shared" si="8"/>
        <v/>
      </c>
      <c r="Q47" s="28" t="str">
        <f t="shared" si="8"/>
        <v/>
      </c>
    </row>
    <row r="48" spans="1:17" ht="37.049999999999997" customHeight="1">
      <c r="A48" s="12" t="s">
        <v>47</v>
      </c>
      <c r="B48" s="12" t="str">
        <f>VLOOKUP($A48,Tareas!$A$8:$P$63,4,FALSE)</f>
        <v>Revisar integración y regresión del 50%</v>
      </c>
      <c r="C48" s="12" t="str">
        <f>VLOOKUP($A48,Tareas!$A$8:$P$63,5,FALSE)</f>
        <v>Equipo</v>
      </c>
      <c r="D48" s="19">
        <f>VLOOKUP($A48,Tareas!$A$8:$P$63,7,FALSE)</f>
        <v>46303</v>
      </c>
      <c r="E48" s="19">
        <f>VLOOKUP($A48,Tareas!$A$8:$P$63,8,FALSE)</f>
        <v>46303</v>
      </c>
      <c r="F48" s="12" t="str">
        <f>VLOOKUP($A48,Tareas!$A$8:$P$63,11,FALSE)</f>
        <v>Planificada</v>
      </c>
      <c r="G48" s="29" t="str">
        <f t="shared" si="8"/>
        <v/>
      </c>
      <c r="H48" s="30" t="str">
        <f t="shared" si="8"/>
        <v/>
      </c>
      <c r="I48" s="30" t="str">
        <f t="shared" si="8"/>
        <v/>
      </c>
      <c r="J48" s="30" t="str">
        <f t="shared" si="8"/>
        <v/>
      </c>
      <c r="K48" s="30" t="str">
        <f t="shared" si="8"/>
        <v/>
      </c>
      <c r="L48" s="30" t="str">
        <f t="shared" si="8"/>
        <v/>
      </c>
      <c r="M48" s="30">
        <f t="shared" si="8"/>
        <v>1</v>
      </c>
      <c r="N48" s="30" t="str">
        <f t="shared" si="8"/>
        <v/>
      </c>
      <c r="O48" s="30" t="str">
        <f t="shared" si="8"/>
        <v/>
      </c>
      <c r="P48" s="30" t="str">
        <f t="shared" si="8"/>
        <v/>
      </c>
      <c r="Q48" s="31" t="str">
        <f t="shared" si="8"/>
        <v/>
      </c>
    </row>
    <row r="49" spans="1:17" ht="37.049999999999997" customHeight="1">
      <c r="A49" s="4" t="s">
        <v>48</v>
      </c>
      <c r="B49" s="4" t="str">
        <f>VLOOKUP($A49,Tareas!$A$8:$P$63,4,FALSE)</f>
        <v>Corregir y presentar avance del 50%</v>
      </c>
      <c r="C49" s="4" t="str">
        <f>VLOOKUP($A49,Tareas!$A$8:$P$63,5,FALSE)</f>
        <v>Equipo</v>
      </c>
      <c r="D49" s="18">
        <f>VLOOKUP($A49,Tareas!$A$8:$P$63,7,FALSE)</f>
        <v>46304</v>
      </c>
      <c r="E49" s="18">
        <f>VLOOKUP($A49,Tareas!$A$8:$P$63,8,FALSE)</f>
        <v>46304</v>
      </c>
      <c r="F49" s="4" t="str">
        <f>VLOOKUP($A49,Tareas!$A$8:$P$63,11,FALSE)</f>
        <v>Planificada</v>
      </c>
      <c r="G49" s="26" t="str">
        <f t="shared" si="8"/>
        <v/>
      </c>
      <c r="H49" s="27" t="str">
        <f t="shared" si="8"/>
        <v/>
      </c>
      <c r="I49" s="27" t="str">
        <f t="shared" si="8"/>
        <v/>
      </c>
      <c r="J49" s="27" t="str">
        <f t="shared" si="8"/>
        <v/>
      </c>
      <c r="K49" s="27" t="str">
        <f t="shared" si="8"/>
        <v/>
      </c>
      <c r="L49" s="27" t="str">
        <f t="shared" si="8"/>
        <v/>
      </c>
      <c r="M49" s="27">
        <f t="shared" si="8"/>
        <v>1</v>
      </c>
      <c r="N49" s="27" t="str">
        <f t="shared" si="8"/>
        <v/>
      </c>
      <c r="O49" s="27" t="str">
        <f t="shared" si="8"/>
        <v/>
      </c>
      <c r="P49" s="27" t="str">
        <f t="shared" si="8"/>
        <v/>
      </c>
      <c r="Q49" s="28" t="str">
        <f t="shared" si="8"/>
        <v/>
      </c>
    </row>
    <row r="50" spans="1:17" ht="37.049999999999997" customHeight="1">
      <c r="A50" s="16" t="str">
        <f>'Entregas y equipo'!A12</f>
        <v>S4</v>
      </c>
      <c r="B50" s="16" t="str">
        <f>'Entregas y equipo'!B12</f>
        <v>Avance funcional 3 (80%)</v>
      </c>
      <c r="C50" s="16" t="str">
        <f>"Equipo"</f>
        <v>Equipo</v>
      </c>
      <c r="D50" s="17">
        <f>'Entregas y equipo'!C12</f>
        <v>46305</v>
      </c>
      <c r="E50" s="17">
        <f>'Entregas y equipo'!D12</f>
        <v>46318</v>
      </c>
      <c r="F50" s="16" t="str">
        <f>"Hito previsto"</f>
        <v>Hito previsto</v>
      </c>
      <c r="G50" s="23" t="str">
        <f t="shared" ref="G50:Q50" si="9">IF(AND(G$7&lt;=$E50,G$7+6&gt;=$E50),"H",IF(AND(G$7&lt;=$E50,G$7+6&gt;=$D50),1,""))</f>
        <v/>
      </c>
      <c r="H50" s="24" t="str">
        <f t="shared" si="9"/>
        <v/>
      </c>
      <c r="I50" s="24" t="str">
        <f t="shared" si="9"/>
        <v/>
      </c>
      <c r="J50" s="24" t="str">
        <f t="shared" si="9"/>
        <v/>
      </c>
      <c r="K50" s="24" t="str">
        <f t="shared" si="9"/>
        <v/>
      </c>
      <c r="L50" s="24" t="str">
        <f t="shared" si="9"/>
        <v/>
      </c>
      <c r="M50" s="24">
        <f t="shared" si="9"/>
        <v>1</v>
      </c>
      <c r="N50" s="24">
        <f t="shared" si="9"/>
        <v>1</v>
      </c>
      <c r="O50" s="24" t="str">
        <f t="shared" si="9"/>
        <v>H</v>
      </c>
      <c r="P50" s="24" t="str">
        <f t="shared" si="9"/>
        <v/>
      </c>
      <c r="Q50" s="25" t="str">
        <f t="shared" si="9"/>
        <v/>
      </c>
    </row>
    <row r="51" spans="1:17" ht="37.049999999999997" customHeight="1">
      <c r="A51" s="4" t="s">
        <v>49</v>
      </c>
      <c r="B51" s="4" t="str">
        <f>VLOOKUP($A51,Tareas!$A$8:$P$63,4,FALSE)</f>
        <v>Confirmar planes pagados y precios</v>
      </c>
      <c r="C51" s="4" t="str">
        <f>VLOOKUP($A51,Tareas!$A$8:$P$63,5,FALSE)</f>
        <v>Elden</v>
      </c>
      <c r="D51" s="18">
        <f>VLOOKUP($A51,Tareas!$A$8:$P$63,7,FALSE)</f>
        <v>46307</v>
      </c>
      <c r="E51" s="18">
        <f>VLOOKUP($A51,Tareas!$A$8:$P$63,8,FALSE)</f>
        <v>46307</v>
      </c>
      <c r="F51" s="4" t="str">
        <f>VLOOKUP($A51,Tareas!$A$8:$P$63,11,FALSE)</f>
        <v>Planificada</v>
      </c>
      <c r="G51" s="26" t="str">
        <f t="shared" ref="G51:Q60" si="10">IF(AND(G$7&lt;=$E51,G$7+6&gt;=$D51),1,"")</f>
        <v/>
      </c>
      <c r="H51" s="27" t="str">
        <f t="shared" si="10"/>
        <v/>
      </c>
      <c r="I51" s="27" t="str">
        <f t="shared" si="10"/>
        <v/>
      </c>
      <c r="J51" s="27" t="str">
        <f t="shared" si="10"/>
        <v/>
      </c>
      <c r="K51" s="27" t="str">
        <f t="shared" si="10"/>
        <v/>
      </c>
      <c r="L51" s="27" t="str">
        <f t="shared" si="10"/>
        <v/>
      </c>
      <c r="M51" s="27" t="str">
        <f t="shared" si="10"/>
        <v/>
      </c>
      <c r="N51" s="27">
        <f t="shared" si="10"/>
        <v>1</v>
      </c>
      <c r="O51" s="27" t="str">
        <f t="shared" si="10"/>
        <v/>
      </c>
      <c r="P51" s="27" t="str">
        <f t="shared" si="10"/>
        <v/>
      </c>
      <c r="Q51" s="28" t="str">
        <f t="shared" si="10"/>
        <v/>
      </c>
    </row>
    <row r="52" spans="1:17" ht="37.049999999999997" customHeight="1">
      <c r="A52" s="12" t="s">
        <v>50</v>
      </c>
      <c r="B52" s="12" t="str">
        <f>VLOOKUP($A52,Tareas!$A$8:$P$63,4,FALSE)</f>
        <v>Implementar pagos simulados e historial</v>
      </c>
      <c r="C52" s="12" t="str">
        <f>VLOOKUP($A52,Tareas!$A$8:$P$63,5,FALSE)</f>
        <v>Elden</v>
      </c>
      <c r="D52" s="19">
        <f>VLOOKUP($A52,Tareas!$A$8:$P$63,7,FALSE)</f>
        <v>46308</v>
      </c>
      <c r="E52" s="19">
        <f>VLOOKUP($A52,Tareas!$A$8:$P$63,8,FALSE)</f>
        <v>46310</v>
      </c>
      <c r="F52" s="12" t="str">
        <f>VLOOKUP($A52,Tareas!$A$8:$P$63,11,FALSE)</f>
        <v>Planificada</v>
      </c>
      <c r="G52" s="29" t="str">
        <f t="shared" si="10"/>
        <v/>
      </c>
      <c r="H52" s="30" t="str">
        <f t="shared" si="10"/>
        <v/>
      </c>
      <c r="I52" s="30" t="str">
        <f t="shared" si="10"/>
        <v/>
      </c>
      <c r="J52" s="30" t="str">
        <f t="shared" si="10"/>
        <v/>
      </c>
      <c r="K52" s="30" t="str">
        <f t="shared" si="10"/>
        <v/>
      </c>
      <c r="L52" s="30" t="str">
        <f t="shared" si="10"/>
        <v/>
      </c>
      <c r="M52" s="30" t="str">
        <f t="shared" si="10"/>
        <v/>
      </c>
      <c r="N52" s="30">
        <f t="shared" si="10"/>
        <v>1</v>
      </c>
      <c r="O52" s="30" t="str">
        <f t="shared" si="10"/>
        <v/>
      </c>
      <c r="P52" s="30" t="str">
        <f t="shared" si="10"/>
        <v/>
      </c>
      <c r="Q52" s="31" t="str">
        <f t="shared" si="10"/>
        <v/>
      </c>
    </row>
    <row r="53" spans="1:17" ht="37.049999999999997" customHeight="1">
      <c r="A53" s="4" t="s">
        <v>51</v>
      </c>
      <c r="B53" s="4" t="str">
        <f>VLOOKUP($A53,Tareas!$A$8:$P$63,4,FALSE)</f>
        <v>Implementar renovación y cambio de plan</v>
      </c>
      <c r="C53" s="4" t="str">
        <f>VLOOKUP($A53,Tareas!$A$8:$P$63,5,FALSE)</f>
        <v>Elden</v>
      </c>
      <c r="D53" s="18">
        <f>VLOOKUP($A53,Tareas!$A$8:$P$63,7,FALSE)</f>
        <v>46311</v>
      </c>
      <c r="E53" s="18">
        <f>VLOOKUP($A53,Tareas!$A$8:$P$63,8,FALSE)</f>
        <v>46315</v>
      </c>
      <c r="F53" s="4" t="str">
        <f>VLOOKUP($A53,Tareas!$A$8:$P$63,11,FALSE)</f>
        <v>Planificada</v>
      </c>
      <c r="G53" s="26" t="str">
        <f t="shared" si="10"/>
        <v/>
      </c>
      <c r="H53" s="27" t="str">
        <f t="shared" si="10"/>
        <v/>
      </c>
      <c r="I53" s="27" t="str">
        <f t="shared" si="10"/>
        <v/>
      </c>
      <c r="J53" s="27" t="str">
        <f t="shared" si="10"/>
        <v/>
      </c>
      <c r="K53" s="27" t="str">
        <f t="shared" si="10"/>
        <v/>
      </c>
      <c r="L53" s="27" t="str">
        <f t="shared" si="10"/>
        <v/>
      </c>
      <c r="M53" s="27" t="str">
        <f t="shared" si="10"/>
        <v/>
      </c>
      <c r="N53" s="27">
        <f t="shared" si="10"/>
        <v>1</v>
      </c>
      <c r="O53" s="27">
        <f t="shared" si="10"/>
        <v>1</v>
      </c>
      <c r="P53" s="27" t="str">
        <f t="shared" si="10"/>
        <v/>
      </c>
      <c r="Q53" s="28" t="str">
        <f t="shared" si="10"/>
        <v/>
      </c>
    </row>
    <row r="54" spans="1:17" ht="37.049999999999997" customHeight="1">
      <c r="A54" s="12" t="s">
        <v>52</v>
      </c>
      <c r="B54" s="12" t="str">
        <f>VLOOKUP($A54,Tareas!$A$8:$P$63,4,FALSE)</f>
        <v>Completar consultas administrativas</v>
      </c>
      <c r="C54" s="12" t="str">
        <f>VLOOKUP($A54,Tareas!$A$8:$P$63,5,FALSE)</f>
        <v>Geovanny</v>
      </c>
      <c r="D54" s="19">
        <f>VLOOKUP($A54,Tareas!$A$8:$P$63,7,FALSE)</f>
        <v>46307</v>
      </c>
      <c r="E54" s="19">
        <f>VLOOKUP($A54,Tareas!$A$8:$P$63,8,FALSE)</f>
        <v>46310</v>
      </c>
      <c r="F54" s="12" t="str">
        <f>VLOOKUP($A54,Tareas!$A$8:$P$63,11,FALSE)</f>
        <v>Planificada</v>
      </c>
      <c r="G54" s="29" t="str">
        <f t="shared" si="10"/>
        <v/>
      </c>
      <c r="H54" s="30" t="str">
        <f t="shared" si="10"/>
        <v/>
      </c>
      <c r="I54" s="30" t="str">
        <f t="shared" si="10"/>
        <v/>
      </c>
      <c r="J54" s="30" t="str">
        <f t="shared" si="10"/>
        <v/>
      </c>
      <c r="K54" s="30" t="str">
        <f t="shared" si="10"/>
        <v/>
      </c>
      <c r="L54" s="30" t="str">
        <f t="shared" si="10"/>
        <v/>
      </c>
      <c r="M54" s="30" t="str">
        <f t="shared" si="10"/>
        <v/>
      </c>
      <c r="N54" s="30">
        <f t="shared" si="10"/>
        <v>1</v>
      </c>
      <c r="O54" s="30" t="str">
        <f t="shared" si="10"/>
        <v/>
      </c>
      <c r="P54" s="30" t="str">
        <f t="shared" si="10"/>
        <v/>
      </c>
      <c r="Q54" s="31" t="str">
        <f t="shared" si="10"/>
        <v/>
      </c>
    </row>
    <row r="55" spans="1:17" ht="37.049999999999997" customHeight="1">
      <c r="A55" s="4" t="s">
        <v>53</v>
      </c>
      <c r="B55" s="4" t="str">
        <f>VLOOKUP($A55,Tareas!$A$8:$P$63,4,FALSE)</f>
        <v>Verificar roles y acceso a administración</v>
      </c>
      <c r="C55" s="4" t="str">
        <f>VLOOKUP($A55,Tareas!$A$8:$P$63,5,FALSE)</f>
        <v>Andy</v>
      </c>
      <c r="D55" s="18">
        <f>VLOOKUP($A55,Tareas!$A$8:$P$63,7,FALSE)</f>
        <v>46307</v>
      </c>
      <c r="E55" s="18">
        <f>VLOOKUP($A55,Tareas!$A$8:$P$63,8,FALSE)</f>
        <v>46311</v>
      </c>
      <c r="F55" s="4" t="str">
        <f>VLOOKUP($A55,Tareas!$A$8:$P$63,11,FALSE)</f>
        <v>Planificada</v>
      </c>
      <c r="G55" s="26" t="str">
        <f t="shared" si="10"/>
        <v/>
      </c>
      <c r="H55" s="27" t="str">
        <f t="shared" si="10"/>
        <v/>
      </c>
      <c r="I55" s="27" t="str">
        <f t="shared" si="10"/>
        <v/>
      </c>
      <c r="J55" s="27" t="str">
        <f t="shared" si="10"/>
        <v/>
      </c>
      <c r="K55" s="27" t="str">
        <f t="shared" si="10"/>
        <v/>
      </c>
      <c r="L55" s="27" t="str">
        <f t="shared" si="10"/>
        <v/>
      </c>
      <c r="M55" s="27" t="str">
        <f t="shared" si="10"/>
        <v/>
      </c>
      <c r="N55" s="27">
        <f t="shared" si="10"/>
        <v>1</v>
      </c>
      <c r="O55" s="27" t="str">
        <f t="shared" si="10"/>
        <v/>
      </c>
      <c r="P55" s="27" t="str">
        <f t="shared" si="10"/>
        <v/>
      </c>
      <c r="Q55" s="28" t="str">
        <f t="shared" si="10"/>
        <v/>
      </c>
    </row>
    <row r="56" spans="1:17" ht="37.049999999999997" customHeight="1">
      <c r="A56" s="12" t="s">
        <v>54</v>
      </c>
      <c r="B56" s="12" t="str">
        <f>VLOOKUP($A56,Tareas!$A$8:$P$63,4,FALSE)</f>
        <v>Integrar planes, pagos e historial</v>
      </c>
      <c r="C56" s="12" t="str">
        <f>VLOOKUP($A56,Tareas!$A$8:$P$63,5,FALSE)</f>
        <v>Diego</v>
      </c>
      <c r="D56" s="19">
        <f>VLOOKUP($A56,Tareas!$A$8:$P$63,7,FALSE)</f>
        <v>46310</v>
      </c>
      <c r="E56" s="19">
        <f>VLOOKUP($A56,Tareas!$A$8:$P$63,8,FALSE)</f>
        <v>46315</v>
      </c>
      <c r="F56" s="12" t="str">
        <f>VLOOKUP($A56,Tareas!$A$8:$P$63,11,FALSE)</f>
        <v>Planificada</v>
      </c>
      <c r="G56" s="29" t="str">
        <f t="shared" si="10"/>
        <v/>
      </c>
      <c r="H56" s="30" t="str">
        <f t="shared" si="10"/>
        <v/>
      </c>
      <c r="I56" s="30" t="str">
        <f t="shared" si="10"/>
        <v/>
      </c>
      <c r="J56" s="30" t="str">
        <f t="shared" si="10"/>
        <v/>
      </c>
      <c r="K56" s="30" t="str">
        <f t="shared" si="10"/>
        <v/>
      </c>
      <c r="L56" s="30" t="str">
        <f t="shared" si="10"/>
        <v/>
      </c>
      <c r="M56" s="30" t="str">
        <f t="shared" si="10"/>
        <v/>
      </c>
      <c r="N56" s="30">
        <f t="shared" si="10"/>
        <v>1</v>
      </c>
      <c r="O56" s="30">
        <f t="shared" si="10"/>
        <v>1</v>
      </c>
      <c r="P56" s="30" t="str">
        <f t="shared" si="10"/>
        <v/>
      </c>
      <c r="Q56" s="31" t="str">
        <f t="shared" si="10"/>
        <v/>
      </c>
    </row>
    <row r="57" spans="1:17" ht="37.049999999999997" customHeight="1">
      <c r="A57" s="4" t="s">
        <v>55</v>
      </c>
      <c r="B57" s="4" t="str">
        <f>VLOOKUP($A57,Tareas!$A$8:$P$63,4,FALSE)</f>
        <v>Integrar panel de administrador</v>
      </c>
      <c r="C57" s="4" t="str">
        <f>VLOOKUP($A57,Tareas!$A$8:$P$63,5,FALSE)</f>
        <v>Diego</v>
      </c>
      <c r="D57" s="18">
        <f>VLOOKUP($A57,Tareas!$A$8:$P$63,7,FALSE)</f>
        <v>46316</v>
      </c>
      <c r="E57" s="18">
        <f>VLOOKUP($A57,Tareas!$A$8:$P$63,8,FALSE)</f>
        <v>46316</v>
      </c>
      <c r="F57" s="4" t="str">
        <f>VLOOKUP($A57,Tareas!$A$8:$P$63,11,FALSE)</f>
        <v>Planificada</v>
      </c>
      <c r="G57" s="26" t="str">
        <f t="shared" si="10"/>
        <v/>
      </c>
      <c r="H57" s="27" t="str">
        <f t="shared" si="10"/>
        <v/>
      </c>
      <c r="I57" s="27" t="str">
        <f t="shared" si="10"/>
        <v/>
      </c>
      <c r="J57" s="27" t="str">
        <f t="shared" si="10"/>
        <v/>
      </c>
      <c r="K57" s="27" t="str">
        <f t="shared" si="10"/>
        <v/>
      </c>
      <c r="L57" s="27" t="str">
        <f t="shared" si="10"/>
        <v/>
      </c>
      <c r="M57" s="27" t="str">
        <f t="shared" si="10"/>
        <v/>
      </c>
      <c r="N57" s="27" t="str">
        <f t="shared" si="10"/>
        <v/>
      </c>
      <c r="O57" s="27">
        <f t="shared" si="10"/>
        <v>1</v>
      </c>
      <c r="P57" s="27" t="str">
        <f t="shared" si="10"/>
        <v/>
      </c>
      <c r="Q57" s="28" t="str">
        <f t="shared" si="10"/>
        <v/>
      </c>
    </row>
    <row r="58" spans="1:17" ht="37.049999999999997" customHeight="1">
      <c r="A58" s="12" t="s">
        <v>56</v>
      </c>
      <c r="B58" s="12" t="str">
        <f>VLOOKUP($A58,Tareas!$A$8:$P$63,4,FALSE)</f>
        <v>Probar cuotas y consumo al cambiar de plan</v>
      </c>
      <c r="C58" s="12" t="str">
        <f>VLOOKUP($A58,Tareas!$A$8:$P$63,5,FALSE)</f>
        <v>Geovanny</v>
      </c>
      <c r="D58" s="19">
        <f>VLOOKUP($A58,Tareas!$A$8:$P$63,7,FALSE)</f>
        <v>46315</v>
      </c>
      <c r="E58" s="19">
        <f>VLOOKUP($A58,Tareas!$A$8:$P$63,8,FALSE)</f>
        <v>46316</v>
      </c>
      <c r="F58" s="12" t="str">
        <f>VLOOKUP($A58,Tareas!$A$8:$P$63,11,FALSE)</f>
        <v>Planificada</v>
      </c>
      <c r="G58" s="29" t="str">
        <f t="shared" si="10"/>
        <v/>
      </c>
      <c r="H58" s="30" t="str">
        <f t="shared" si="10"/>
        <v/>
      </c>
      <c r="I58" s="30" t="str">
        <f t="shared" si="10"/>
        <v/>
      </c>
      <c r="J58" s="30" t="str">
        <f t="shared" si="10"/>
        <v/>
      </c>
      <c r="K58" s="30" t="str">
        <f t="shared" si="10"/>
        <v/>
      </c>
      <c r="L58" s="30" t="str">
        <f t="shared" si="10"/>
        <v/>
      </c>
      <c r="M58" s="30" t="str">
        <f t="shared" si="10"/>
        <v/>
      </c>
      <c r="N58" s="30" t="str">
        <f t="shared" si="10"/>
        <v/>
      </c>
      <c r="O58" s="30">
        <f t="shared" si="10"/>
        <v>1</v>
      </c>
      <c r="P58" s="30" t="str">
        <f t="shared" si="10"/>
        <v/>
      </c>
      <c r="Q58" s="31" t="str">
        <f t="shared" si="10"/>
        <v/>
      </c>
    </row>
    <row r="59" spans="1:17" ht="37.049999999999997" customHeight="1">
      <c r="A59" s="4" t="s">
        <v>57</v>
      </c>
      <c r="B59" s="4" t="str">
        <f>VLOOKUP($A59,Tareas!$A$8:$P$63,4,FALSE)</f>
        <v>Ejecutar regresión y revisión visual del 80%</v>
      </c>
      <c r="C59" s="4" t="str">
        <f>VLOOKUP($A59,Tareas!$A$8:$P$63,5,FALSE)</f>
        <v>Equipo</v>
      </c>
      <c r="D59" s="18">
        <f>VLOOKUP($A59,Tareas!$A$8:$P$63,7,FALSE)</f>
        <v>46317</v>
      </c>
      <c r="E59" s="18">
        <f>VLOOKUP($A59,Tareas!$A$8:$P$63,8,FALSE)</f>
        <v>46317</v>
      </c>
      <c r="F59" s="4" t="str">
        <f>VLOOKUP($A59,Tareas!$A$8:$P$63,11,FALSE)</f>
        <v>Planificada</v>
      </c>
      <c r="G59" s="26" t="str">
        <f t="shared" si="10"/>
        <v/>
      </c>
      <c r="H59" s="27" t="str">
        <f t="shared" si="10"/>
        <v/>
      </c>
      <c r="I59" s="27" t="str">
        <f t="shared" si="10"/>
        <v/>
      </c>
      <c r="J59" s="27" t="str">
        <f t="shared" si="10"/>
        <v/>
      </c>
      <c r="K59" s="27" t="str">
        <f t="shared" si="10"/>
        <v/>
      </c>
      <c r="L59" s="27" t="str">
        <f t="shared" si="10"/>
        <v/>
      </c>
      <c r="M59" s="27" t="str">
        <f t="shared" si="10"/>
        <v/>
      </c>
      <c r="N59" s="27" t="str">
        <f t="shared" si="10"/>
        <v/>
      </c>
      <c r="O59" s="27">
        <f t="shared" si="10"/>
        <v>1</v>
      </c>
      <c r="P59" s="27" t="str">
        <f t="shared" si="10"/>
        <v/>
      </c>
      <c r="Q59" s="28" t="str">
        <f t="shared" si="10"/>
        <v/>
      </c>
    </row>
    <row r="60" spans="1:17" ht="37.049999999999997" customHeight="1">
      <c r="A60" s="12" t="s">
        <v>58</v>
      </c>
      <c r="B60" s="12" t="str">
        <f>VLOOKUP($A60,Tareas!$A$8:$P$63,4,FALSE)</f>
        <v>Corregir y presentar avance del 80%</v>
      </c>
      <c r="C60" s="12" t="str">
        <f>VLOOKUP($A60,Tareas!$A$8:$P$63,5,FALSE)</f>
        <v>Equipo</v>
      </c>
      <c r="D60" s="19">
        <f>VLOOKUP($A60,Tareas!$A$8:$P$63,7,FALSE)</f>
        <v>46318</v>
      </c>
      <c r="E60" s="19">
        <f>VLOOKUP($A60,Tareas!$A$8:$P$63,8,FALSE)</f>
        <v>46318</v>
      </c>
      <c r="F60" s="12" t="str">
        <f>VLOOKUP($A60,Tareas!$A$8:$P$63,11,FALSE)</f>
        <v>Planificada</v>
      </c>
      <c r="G60" s="29" t="str">
        <f t="shared" si="10"/>
        <v/>
      </c>
      <c r="H60" s="30" t="str">
        <f t="shared" si="10"/>
        <v/>
      </c>
      <c r="I60" s="30" t="str">
        <f t="shared" si="10"/>
        <v/>
      </c>
      <c r="J60" s="30" t="str">
        <f t="shared" si="10"/>
        <v/>
      </c>
      <c r="K60" s="30" t="str">
        <f t="shared" si="10"/>
        <v/>
      </c>
      <c r="L60" s="30" t="str">
        <f t="shared" si="10"/>
        <v/>
      </c>
      <c r="M60" s="30" t="str">
        <f t="shared" si="10"/>
        <v/>
      </c>
      <c r="N60" s="30" t="str">
        <f t="shared" si="10"/>
        <v/>
      </c>
      <c r="O60" s="30">
        <f t="shared" si="10"/>
        <v>1</v>
      </c>
      <c r="P60" s="30" t="str">
        <f t="shared" si="10"/>
        <v/>
      </c>
      <c r="Q60" s="31" t="str">
        <f t="shared" si="10"/>
        <v/>
      </c>
    </row>
    <row r="61" spans="1:17" ht="37.049999999999997" customHeight="1">
      <c r="A61" s="16" t="str">
        <f>'Entregas y equipo'!A13</f>
        <v>S5</v>
      </c>
      <c r="B61" s="16" t="str">
        <f>'Entregas y equipo'!B13</f>
        <v>Entrega final y exposiciones</v>
      </c>
      <c r="C61" s="16" t="str">
        <f>"Equipo"</f>
        <v>Equipo</v>
      </c>
      <c r="D61" s="17">
        <f>'Entregas y equipo'!C13</f>
        <v>46319</v>
      </c>
      <c r="E61" s="17">
        <f>'Entregas y equipo'!D13</f>
        <v>46332</v>
      </c>
      <c r="F61" s="16" t="str">
        <f>"Hito previsto"</f>
        <v>Hito previsto</v>
      </c>
      <c r="G61" s="23" t="str">
        <f t="shared" ref="G61:Q61" si="11">IF(AND(G$7&lt;=$E61,G$7+6&gt;=$E61),"H",IF(AND(G$7&lt;=$E61,G$7+6&gt;=$D61),1,""))</f>
        <v/>
      </c>
      <c r="H61" s="24" t="str">
        <f t="shared" si="11"/>
        <v/>
      </c>
      <c r="I61" s="24" t="str">
        <f t="shared" si="11"/>
        <v/>
      </c>
      <c r="J61" s="24" t="str">
        <f t="shared" si="11"/>
        <v/>
      </c>
      <c r="K61" s="24" t="str">
        <f t="shared" si="11"/>
        <v/>
      </c>
      <c r="L61" s="24" t="str">
        <f t="shared" si="11"/>
        <v/>
      </c>
      <c r="M61" s="24" t="str">
        <f t="shared" si="11"/>
        <v/>
      </c>
      <c r="N61" s="24" t="str">
        <f t="shared" si="11"/>
        <v/>
      </c>
      <c r="O61" s="24">
        <f t="shared" si="11"/>
        <v>1</v>
      </c>
      <c r="P61" s="24">
        <f t="shared" si="11"/>
        <v>1</v>
      </c>
      <c r="Q61" s="25" t="str">
        <f t="shared" si="11"/>
        <v>H</v>
      </c>
    </row>
    <row r="62" spans="1:17" ht="37.049999999999997" customHeight="1">
      <c r="A62" s="12" t="s">
        <v>59</v>
      </c>
      <c r="B62" s="12" t="str">
        <f>VLOOKUP($A62,Tareas!$A$8:$P$63,4,FALSE)</f>
        <v>Cerrar documentación de usuarios y seguridad</v>
      </c>
      <c r="C62" s="12" t="str">
        <f>VLOOKUP($A62,Tareas!$A$8:$P$63,5,FALSE)</f>
        <v>Andy</v>
      </c>
      <c r="D62" s="19">
        <f>VLOOKUP($A62,Tareas!$A$8:$P$63,7,FALSE)</f>
        <v>46321</v>
      </c>
      <c r="E62" s="19">
        <f>VLOOKUP($A62,Tareas!$A$8:$P$63,8,FALSE)</f>
        <v>46324</v>
      </c>
      <c r="F62" s="12" t="str">
        <f>VLOOKUP($A62,Tareas!$A$8:$P$63,11,FALSE)</f>
        <v>Planificada</v>
      </c>
      <c r="G62" s="29" t="str">
        <f t="shared" ref="G62:Q69" si="12">IF(AND(G$7&lt;=$E62,G$7+6&gt;=$D62),1,"")</f>
        <v/>
      </c>
      <c r="H62" s="30" t="str">
        <f t="shared" si="12"/>
        <v/>
      </c>
      <c r="I62" s="30" t="str">
        <f t="shared" si="12"/>
        <v/>
      </c>
      <c r="J62" s="30" t="str">
        <f t="shared" si="12"/>
        <v/>
      </c>
      <c r="K62" s="30" t="str">
        <f t="shared" si="12"/>
        <v/>
      </c>
      <c r="L62" s="30" t="str">
        <f t="shared" si="12"/>
        <v/>
      </c>
      <c r="M62" s="30" t="str">
        <f t="shared" si="12"/>
        <v/>
      </c>
      <c r="N62" s="30" t="str">
        <f t="shared" si="12"/>
        <v/>
      </c>
      <c r="O62" s="30" t="str">
        <f t="shared" si="12"/>
        <v/>
      </c>
      <c r="P62" s="30">
        <f t="shared" si="12"/>
        <v>1</v>
      </c>
      <c r="Q62" s="31" t="str">
        <f t="shared" si="12"/>
        <v/>
      </c>
    </row>
    <row r="63" spans="1:17" ht="37.049999999999997" customHeight="1">
      <c r="A63" s="4" t="s">
        <v>60</v>
      </c>
      <c r="B63" s="4" t="str">
        <f>VLOOKUP($A63,Tareas!$A$8:$P$63,4,FALSE)</f>
        <v>Documentar planes, pagos y reglas de negocio</v>
      </c>
      <c r="C63" s="4" t="str">
        <f>VLOOKUP($A63,Tareas!$A$8:$P$63,5,FALSE)</f>
        <v>Elden</v>
      </c>
      <c r="D63" s="18">
        <f>VLOOKUP($A63,Tareas!$A$8:$P$63,7,FALSE)</f>
        <v>46321</v>
      </c>
      <c r="E63" s="18">
        <f>VLOOKUP($A63,Tareas!$A$8:$P$63,8,FALSE)</f>
        <v>46324</v>
      </c>
      <c r="F63" s="4" t="str">
        <f>VLOOKUP($A63,Tareas!$A$8:$P$63,11,FALSE)</f>
        <v>Planificada</v>
      </c>
      <c r="G63" s="26" t="str">
        <f t="shared" si="12"/>
        <v/>
      </c>
      <c r="H63" s="27" t="str">
        <f t="shared" si="12"/>
        <v/>
      </c>
      <c r="I63" s="27" t="str">
        <f t="shared" si="12"/>
        <v/>
      </c>
      <c r="J63" s="27" t="str">
        <f t="shared" si="12"/>
        <v/>
      </c>
      <c r="K63" s="27" t="str">
        <f t="shared" si="12"/>
        <v/>
      </c>
      <c r="L63" s="27" t="str">
        <f t="shared" si="12"/>
        <v/>
      </c>
      <c r="M63" s="27" t="str">
        <f t="shared" si="12"/>
        <v/>
      </c>
      <c r="N63" s="27" t="str">
        <f t="shared" si="12"/>
        <v/>
      </c>
      <c r="O63" s="27" t="str">
        <f t="shared" si="12"/>
        <v/>
      </c>
      <c r="P63" s="27">
        <f t="shared" si="12"/>
        <v>1</v>
      </c>
      <c r="Q63" s="28" t="str">
        <f t="shared" si="12"/>
        <v/>
      </c>
    </row>
    <row r="64" spans="1:17" ht="37.049999999999997" customHeight="1">
      <c r="A64" s="12" t="s">
        <v>61</v>
      </c>
      <c r="B64" s="12" t="str">
        <f>VLOOKUP($A64,Tareas!$A$8:$P$63,4,FALSE)</f>
        <v>Preparar demo SDK/API si se confirma alcance</v>
      </c>
      <c r="C64" s="12" t="str">
        <f>VLOOKUP($A64,Tareas!$A$8:$P$63,5,FALSE)</f>
        <v>Geovanny</v>
      </c>
      <c r="D64" s="19">
        <f>VLOOKUP($A64,Tareas!$A$8:$P$63,7,FALSE)</f>
        <v>46321</v>
      </c>
      <c r="E64" s="19">
        <f>VLOOKUP($A64,Tareas!$A$8:$P$63,8,FALSE)</f>
        <v>46324</v>
      </c>
      <c r="F64" s="12" t="str">
        <f>VLOOKUP($A64,Tareas!$A$8:$P$63,11,FALSE)</f>
        <v>Planificada</v>
      </c>
      <c r="G64" s="29" t="str">
        <f t="shared" si="12"/>
        <v/>
      </c>
      <c r="H64" s="30" t="str">
        <f t="shared" si="12"/>
        <v/>
      </c>
      <c r="I64" s="30" t="str">
        <f t="shared" si="12"/>
        <v/>
      </c>
      <c r="J64" s="30" t="str">
        <f t="shared" si="12"/>
        <v/>
      </c>
      <c r="K64" s="30" t="str">
        <f t="shared" si="12"/>
        <v/>
      </c>
      <c r="L64" s="30" t="str">
        <f t="shared" si="12"/>
        <v/>
      </c>
      <c r="M64" s="30" t="str">
        <f t="shared" si="12"/>
        <v/>
      </c>
      <c r="N64" s="30" t="str">
        <f t="shared" si="12"/>
        <v/>
      </c>
      <c r="O64" s="30" t="str">
        <f t="shared" si="12"/>
        <v/>
      </c>
      <c r="P64" s="30">
        <f t="shared" si="12"/>
        <v>1</v>
      </c>
      <c r="Q64" s="31" t="str">
        <f t="shared" si="12"/>
        <v/>
      </c>
    </row>
    <row r="65" spans="1:17" ht="37.049999999999997" customHeight="1">
      <c r="A65" s="4" t="s">
        <v>62</v>
      </c>
      <c r="B65" s="4" t="str">
        <f>VLOOKUP($A65,Tareas!$A$8:$P$63,4,FALSE)</f>
        <v>Pulir interfaz y preparar presentación</v>
      </c>
      <c r="C65" s="4" t="str">
        <f>VLOOKUP($A65,Tareas!$A$8:$P$63,5,FALSE)</f>
        <v>Diego</v>
      </c>
      <c r="D65" s="18">
        <f>VLOOKUP($A65,Tareas!$A$8:$P$63,7,FALSE)</f>
        <v>46321</v>
      </c>
      <c r="E65" s="18">
        <f>VLOOKUP($A65,Tareas!$A$8:$P$63,8,FALSE)</f>
        <v>46325</v>
      </c>
      <c r="F65" s="4" t="str">
        <f>VLOOKUP($A65,Tareas!$A$8:$P$63,11,FALSE)</f>
        <v>Planificada</v>
      </c>
      <c r="G65" s="26" t="str">
        <f t="shared" si="12"/>
        <v/>
      </c>
      <c r="H65" s="27" t="str">
        <f t="shared" si="12"/>
        <v/>
      </c>
      <c r="I65" s="27" t="str">
        <f t="shared" si="12"/>
        <v/>
      </c>
      <c r="J65" s="27" t="str">
        <f t="shared" si="12"/>
        <v/>
      </c>
      <c r="K65" s="27" t="str">
        <f t="shared" si="12"/>
        <v/>
      </c>
      <c r="L65" s="27" t="str">
        <f t="shared" si="12"/>
        <v/>
      </c>
      <c r="M65" s="27" t="str">
        <f t="shared" si="12"/>
        <v/>
      </c>
      <c r="N65" s="27" t="str">
        <f t="shared" si="12"/>
        <v/>
      </c>
      <c r="O65" s="27" t="str">
        <f t="shared" si="12"/>
        <v/>
      </c>
      <c r="P65" s="27">
        <f t="shared" si="12"/>
        <v>1</v>
      </c>
      <c r="Q65" s="28" t="str">
        <f t="shared" si="12"/>
        <v/>
      </c>
    </row>
    <row r="66" spans="1:17" ht="37.049999999999997" customHeight="1">
      <c r="A66" s="12" t="s">
        <v>63</v>
      </c>
      <c r="B66" s="12" t="str">
        <f>VLOOKUP($A66,Tareas!$A$8:$P$63,4,FALSE)</f>
        <v>Ejecutar pruebas integrales y corregir defectos</v>
      </c>
      <c r="C66" s="12" t="str">
        <f>VLOOKUP($A66,Tareas!$A$8:$P$63,5,FALSE)</f>
        <v>Equipo</v>
      </c>
      <c r="D66" s="19">
        <f>VLOOKUP($A66,Tareas!$A$8:$P$63,7,FALSE)</f>
        <v>46325</v>
      </c>
      <c r="E66" s="19">
        <f>VLOOKUP($A66,Tareas!$A$8:$P$63,8,FALSE)</f>
        <v>46329</v>
      </c>
      <c r="F66" s="12" t="str">
        <f>VLOOKUP($A66,Tareas!$A$8:$P$63,11,FALSE)</f>
        <v>Planificada</v>
      </c>
      <c r="G66" s="29" t="str">
        <f t="shared" si="12"/>
        <v/>
      </c>
      <c r="H66" s="30" t="str">
        <f t="shared" si="12"/>
        <v/>
      </c>
      <c r="I66" s="30" t="str">
        <f t="shared" si="12"/>
        <v/>
      </c>
      <c r="J66" s="30" t="str">
        <f t="shared" si="12"/>
        <v/>
      </c>
      <c r="K66" s="30" t="str">
        <f t="shared" si="12"/>
        <v/>
      </c>
      <c r="L66" s="30" t="str">
        <f t="shared" si="12"/>
        <v/>
      </c>
      <c r="M66" s="30" t="str">
        <f t="shared" si="12"/>
        <v/>
      </c>
      <c r="N66" s="30" t="str">
        <f t="shared" si="12"/>
        <v/>
      </c>
      <c r="O66" s="30" t="str">
        <f t="shared" si="12"/>
        <v/>
      </c>
      <c r="P66" s="30">
        <f t="shared" si="12"/>
        <v>1</v>
      </c>
      <c r="Q66" s="31">
        <f t="shared" si="12"/>
        <v>1</v>
      </c>
    </row>
    <row r="67" spans="1:17" ht="37.049999999999997" customHeight="1">
      <c r="A67" s="4" t="s">
        <v>64</v>
      </c>
      <c r="B67" s="4" t="str">
        <f>VLOOKUP($A67,Tareas!$A$8:$P$63,4,FALSE)</f>
        <v>Preparar entorno reproducible de demostración</v>
      </c>
      <c r="C67" s="4" t="str">
        <f>VLOOKUP($A67,Tareas!$A$8:$P$63,5,FALSE)</f>
        <v>Equipo</v>
      </c>
      <c r="D67" s="18">
        <f>VLOOKUP($A67,Tareas!$A$8:$P$63,7,FALSE)</f>
        <v>46329</v>
      </c>
      <c r="E67" s="18">
        <f>VLOOKUP($A67,Tareas!$A$8:$P$63,8,FALSE)</f>
        <v>46330</v>
      </c>
      <c r="F67" s="4" t="str">
        <f>VLOOKUP($A67,Tareas!$A$8:$P$63,11,FALSE)</f>
        <v>Planificada</v>
      </c>
      <c r="G67" s="26" t="str">
        <f t="shared" si="12"/>
        <v/>
      </c>
      <c r="H67" s="27" t="str">
        <f t="shared" si="12"/>
        <v/>
      </c>
      <c r="I67" s="27" t="str">
        <f t="shared" si="12"/>
        <v/>
      </c>
      <c r="J67" s="27" t="str">
        <f t="shared" si="12"/>
        <v/>
      </c>
      <c r="K67" s="27" t="str">
        <f t="shared" si="12"/>
        <v/>
      </c>
      <c r="L67" s="27" t="str">
        <f t="shared" si="12"/>
        <v/>
      </c>
      <c r="M67" s="27" t="str">
        <f t="shared" si="12"/>
        <v/>
      </c>
      <c r="N67" s="27" t="str">
        <f t="shared" si="12"/>
        <v/>
      </c>
      <c r="O67" s="27" t="str">
        <f t="shared" si="12"/>
        <v/>
      </c>
      <c r="P67" s="27" t="str">
        <f t="shared" si="12"/>
        <v/>
      </c>
      <c r="Q67" s="28">
        <f t="shared" si="12"/>
        <v>1</v>
      </c>
    </row>
    <row r="68" spans="1:17" ht="37.049999999999997" customHeight="1">
      <c r="A68" s="12" t="s">
        <v>65</v>
      </c>
      <c r="B68" s="12" t="str">
        <f>VLOOKUP($A68,Tareas!$A$8:$P$63,4,FALSE)</f>
        <v>Ensayar exposición y cerrar paquete final</v>
      </c>
      <c r="C68" s="12" t="str">
        <f>VLOOKUP($A68,Tareas!$A$8:$P$63,5,FALSE)</f>
        <v>Equipo</v>
      </c>
      <c r="D68" s="19">
        <f>VLOOKUP($A68,Tareas!$A$8:$P$63,7,FALSE)</f>
        <v>46331</v>
      </c>
      <c r="E68" s="19">
        <f>VLOOKUP($A68,Tareas!$A$8:$P$63,8,FALSE)</f>
        <v>46331</v>
      </c>
      <c r="F68" s="12" t="str">
        <f>VLOOKUP($A68,Tareas!$A$8:$P$63,11,FALSE)</f>
        <v>Planificada</v>
      </c>
      <c r="G68" s="29" t="str">
        <f t="shared" si="12"/>
        <v/>
      </c>
      <c r="H68" s="30" t="str">
        <f t="shared" si="12"/>
        <v/>
      </c>
      <c r="I68" s="30" t="str">
        <f t="shared" si="12"/>
        <v/>
      </c>
      <c r="J68" s="30" t="str">
        <f t="shared" si="12"/>
        <v/>
      </c>
      <c r="K68" s="30" t="str">
        <f t="shared" si="12"/>
        <v/>
      </c>
      <c r="L68" s="30" t="str">
        <f t="shared" si="12"/>
        <v/>
      </c>
      <c r="M68" s="30" t="str">
        <f t="shared" si="12"/>
        <v/>
      </c>
      <c r="N68" s="30" t="str">
        <f t="shared" si="12"/>
        <v/>
      </c>
      <c r="O68" s="30" t="str">
        <f t="shared" si="12"/>
        <v/>
      </c>
      <c r="P68" s="30" t="str">
        <f t="shared" si="12"/>
        <v/>
      </c>
      <c r="Q68" s="31">
        <f t="shared" si="12"/>
        <v>1</v>
      </c>
    </row>
    <row r="69" spans="1:17" ht="37.049999999999997" customHeight="1">
      <c r="A69" s="4" t="s">
        <v>66</v>
      </c>
      <c r="B69" s="4" t="str">
        <f>VLOOKUP($A69,Tareas!$A$8:$P$63,4,FALSE)</f>
        <v>Entregar y exponer proyecto final</v>
      </c>
      <c r="C69" s="4" t="str">
        <f>VLOOKUP($A69,Tareas!$A$8:$P$63,5,FALSE)</f>
        <v>Equipo</v>
      </c>
      <c r="D69" s="18">
        <f>VLOOKUP($A69,Tareas!$A$8:$P$63,7,FALSE)</f>
        <v>46332</v>
      </c>
      <c r="E69" s="18">
        <f>VLOOKUP($A69,Tareas!$A$8:$P$63,8,FALSE)</f>
        <v>46332</v>
      </c>
      <c r="F69" s="4" t="str">
        <f>VLOOKUP($A69,Tareas!$A$8:$P$63,11,FALSE)</f>
        <v>Planificada</v>
      </c>
      <c r="G69" s="32" t="str">
        <f t="shared" si="12"/>
        <v/>
      </c>
      <c r="H69" s="33" t="str">
        <f t="shared" si="12"/>
        <v/>
      </c>
      <c r="I69" s="33" t="str">
        <f t="shared" si="12"/>
        <v/>
      </c>
      <c r="J69" s="33" t="str">
        <f t="shared" si="12"/>
        <v/>
      </c>
      <c r="K69" s="33" t="str">
        <f t="shared" si="12"/>
        <v/>
      </c>
      <c r="L69" s="33" t="str">
        <f t="shared" si="12"/>
        <v/>
      </c>
      <c r="M69" s="33" t="str">
        <f t="shared" si="12"/>
        <v/>
      </c>
      <c r="N69" s="33" t="str">
        <f t="shared" si="12"/>
        <v/>
      </c>
      <c r="O69" s="33" t="str">
        <f t="shared" si="12"/>
        <v/>
      </c>
      <c r="P69" s="33" t="str">
        <f t="shared" si="12"/>
        <v/>
      </c>
      <c r="Q69" s="34">
        <f t="shared" si="12"/>
        <v>1</v>
      </c>
    </row>
    <row r="70" spans="1:17" ht="25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</sheetData>
  <conditionalFormatting sqref="G8:Q8">
    <cfRule type="expression" dxfId="15" priority="1">
      <formula>G8&lt;&gt;""</formula>
    </cfRule>
  </conditionalFormatting>
  <conditionalFormatting sqref="G9:Q12">
    <cfRule type="cellIs" dxfId="14" priority="2" operator="equal">
      <formula>1</formula>
    </cfRule>
  </conditionalFormatting>
  <conditionalFormatting sqref="G13:Q13">
    <cfRule type="expression" dxfId="13" priority="6">
      <formula>G13&lt;&gt;""</formula>
    </cfRule>
  </conditionalFormatting>
  <conditionalFormatting sqref="G14:Q19">
    <cfRule type="cellIs" dxfId="12" priority="7" operator="equal">
      <formula>1</formula>
    </cfRule>
  </conditionalFormatting>
  <conditionalFormatting sqref="G20:Q20">
    <cfRule type="expression" dxfId="11" priority="13">
      <formula>G20&lt;&gt;""</formula>
    </cfRule>
  </conditionalFormatting>
  <conditionalFormatting sqref="G21:Q36">
    <cfRule type="cellIs" dxfId="10" priority="14" operator="equal">
      <formula>1</formula>
    </cfRule>
  </conditionalFormatting>
  <conditionalFormatting sqref="G37:Q37">
    <cfRule type="expression" dxfId="9" priority="30">
      <formula>G37&lt;&gt;""</formula>
    </cfRule>
  </conditionalFormatting>
  <conditionalFormatting sqref="G38:Q49">
    <cfRule type="cellIs" dxfId="8" priority="31" operator="equal">
      <formula>1</formula>
    </cfRule>
  </conditionalFormatting>
  <conditionalFormatting sqref="G50:Q50">
    <cfRule type="expression" dxfId="7" priority="43">
      <formula>G50&lt;&gt;""</formula>
    </cfRule>
  </conditionalFormatting>
  <conditionalFormatting sqref="G51:Q60">
    <cfRule type="cellIs" dxfId="6" priority="44" operator="equal">
      <formula>1</formula>
    </cfRule>
  </conditionalFormatting>
  <conditionalFormatting sqref="G61:Q61">
    <cfRule type="expression" dxfId="5" priority="54">
      <formula>G61&lt;&gt;""</formula>
    </cfRule>
  </conditionalFormatting>
  <conditionalFormatting sqref="G62:Q69">
    <cfRule type="cellIs" dxfId="4" priority="55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8A84E"/>
  </sheetPr>
  <dimension ref="A1:T26"/>
  <sheetViews>
    <sheetView showGridLines="0" workbookViewId="0">
      <pane xSplit="2" ySplit="7" topLeftCell="C16" activePane="bottomRight" state="frozen"/>
      <selection pane="topRight"/>
      <selection pane="bottomLeft"/>
      <selection pane="bottomRight" activeCell="F9" sqref="F9"/>
    </sheetView>
  </sheetViews>
  <sheetFormatPr baseColWidth="10" defaultColWidth="8.796875" defaultRowHeight="13.8"/>
  <cols>
    <col min="1" max="1" width="9.5" customWidth="1"/>
    <col min="2" max="2" width="40.59765625" customWidth="1"/>
    <col min="3" max="3" width="12.5" customWidth="1"/>
    <col min="4" max="5" width="11" customWidth="1"/>
    <col min="6" max="6" width="16" customWidth="1"/>
    <col min="7" max="20" width="7.09765625" customWidth="1"/>
  </cols>
  <sheetData>
    <row r="1" spans="1:20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>
      <c r="A2" s="2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5.05" customHeight="1">
      <c r="A3" s="3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5.05" customHeight="1">
      <c r="A4" s="3" t="s">
        <v>69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05" customHeight="1">
      <c r="A5" s="3" t="s">
        <v>70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5.05" customHeight="1">
      <c r="A6" s="3" t="s">
        <v>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4.049999999999997" customHeight="1">
      <c r="A7" s="5" t="s">
        <v>72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20">
        <v>46277</v>
      </c>
      <c r="H7" s="21">
        <v>46278</v>
      </c>
      <c r="I7" s="21">
        <v>46279</v>
      </c>
      <c r="J7" s="21">
        <v>46280</v>
      </c>
      <c r="K7" s="21">
        <v>46281</v>
      </c>
      <c r="L7" s="21">
        <v>46282</v>
      </c>
      <c r="M7" s="21">
        <v>46283</v>
      </c>
      <c r="N7" s="21">
        <v>46284</v>
      </c>
      <c r="O7" s="21">
        <v>46285</v>
      </c>
      <c r="P7" s="21">
        <v>46286</v>
      </c>
      <c r="Q7" s="21">
        <v>46287</v>
      </c>
      <c r="R7" s="21">
        <v>46288</v>
      </c>
      <c r="S7" s="21">
        <v>46289</v>
      </c>
      <c r="T7" s="35">
        <v>46290</v>
      </c>
    </row>
    <row r="8" spans="1:20" ht="43.95" customHeight="1">
      <c r="A8" s="12" t="s">
        <v>21</v>
      </c>
      <c r="B8" s="12" t="str">
        <f>VLOOKUP($A8,Tareas!$A$8:$P$63,4,FALSE)</f>
        <v>Preparar esqueleto y esquema inicial</v>
      </c>
      <c r="C8" s="12" t="str">
        <f>VLOOKUP($A8,Tareas!$A$8:$P$63,5,FALSE)</f>
        <v>Equipo</v>
      </c>
      <c r="D8" s="19">
        <f>VLOOKUP($A8,Tareas!$A$8:$P$63,7,FALSE)</f>
        <v>46286</v>
      </c>
      <c r="E8" s="19">
        <f>VLOOKUP($A8,Tareas!$A$8:$P$63,8,FALSE)</f>
        <v>46286</v>
      </c>
      <c r="F8" s="12" t="str">
        <f>VLOOKUP($A8,Tareas!$A$8:$P$63,11,FALSE)</f>
        <v>Base verificada</v>
      </c>
      <c r="G8" s="36" t="str">
        <f t="shared" ref="G8:T17" si="0">IF(AND(G$7&gt;=$D8,G$7&lt;=$E8),1,"")</f>
        <v/>
      </c>
      <c r="H8" s="37" t="str">
        <f t="shared" si="0"/>
        <v/>
      </c>
      <c r="I8" s="37" t="str">
        <f t="shared" si="0"/>
        <v/>
      </c>
      <c r="J8" s="37" t="str">
        <f t="shared" si="0"/>
        <v/>
      </c>
      <c r="K8" s="37" t="str">
        <f t="shared" si="0"/>
        <v/>
      </c>
      <c r="L8" s="37" t="str">
        <f t="shared" si="0"/>
        <v/>
      </c>
      <c r="M8" s="37" t="str">
        <f t="shared" si="0"/>
        <v/>
      </c>
      <c r="N8" s="37" t="str">
        <f t="shared" si="0"/>
        <v/>
      </c>
      <c r="O8" s="37" t="str">
        <f t="shared" si="0"/>
        <v/>
      </c>
      <c r="P8" s="37">
        <f t="shared" si="0"/>
        <v>1</v>
      </c>
      <c r="Q8" s="37" t="str">
        <f t="shared" si="0"/>
        <v/>
      </c>
      <c r="R8" s="37" t="str">
        <f t="shared" si="0"/>
        <v/>
      </c>
      <c r="S8" s="37" t="str">
        <f t="shared" si="0"/>
        <v/>
      </c>
      <c r="T8" s="38" t="str">
        <f t="shared" si="0"/>
        <v/>
      </c>
    </row>
    <row r="9" spans="1:20" ht="43.95" customHeight="1">
      <c r="A9" s="4" t="s">
        <v>22</v>
      </c>
      <c r="B9" s="4" t="str">
        <f>VLOOKUP($A9,Tareas!$A$8:$P$63,4,FALSE)</f>
        <v>Implementar registro y hash seguro</v>
      </c>
      <c r="C9" s="4" t="str">
        <f>VLOOKUP($A9,Tareas!$A$8:$P$63,5,FALSE)</f>
        <v>Andy</v>
      </c>
      <c r="D9" s="18">
        <f>VLOOKUP($A9,Tareas!$A$8:$P$63,7,FALSE)</f>
        <v>46288</v>
      </c>
      <c r="E9" s="18">
        <f>VLOOKUP($A9,Tareas!$A$8:$P$63,8,FALSE)</f>
        <v>46288</v>
      </c>
      <c r="F9" s="4" t="str">
        <f>VLOOKUP($A9,Tareas!$A$8:$P$63,11,FALSE)</f>
        <v>En progreso</v>
      </c>
      <c r="G9" s="39" t="str">
        <f t="shared" si="0"/>
        <v/>
      </c>
      <c r="H9" s="40" t="str">
        <f t="shared" si="0"/>
        <v/>
      </c>
      <c r="I9" s="40" t="str">
        <f t="shared" si="0"/>
        <v/>
      </c>
      <c r="J9" s="40" t="str">
        <f t="shared" si="0"/>
        <v/>
      </c>
      <c r="K9" s="40" t="str">
        <f t="shared" si="0"/>
        <v/>
      </c>
      <c r="L9" s="40" t="str">
        <f t="shared" si="0"/>
        <v/>
      </c>
      <c r="M9" s="40" t="str">
        <f t="shared" si="0"/>
        <v/>
      </c>
      <c r="N9" s="40" t="str">
        <f t="shared" si="0"/>
        <v/>
      </c>
      <c r="O9" s="40" t="str">
        <f t="shared" si="0"/>
        <v/>
      </c>
      <c r="P9" s="40" t="str">
        <f t="shared" si="0"/>
        <v/>
      </c>
      <c r="Q9" s="40" t="str">
        <f t="shared" si="0"/>
        <v/>
      </c>
      <c r="R9" s="40">
        <f t="shared" si="0"/>
        <v>1</v>
      </c>
      <c r="S9" s="40" t="str">
        <f t="shared" si="0"/>
        <v/>
      </c>
      <c r="T9" s="41" t="str">
        <f t="shared" si="0"/>
        <v/>
      </c>
    </row>
    <row r="10" spans="1:20" ht="43.95" customHeight="1">
      <c r="A10" s="12" t="s">
        <v>23</v>
      </c>
      <c r="B10" s="12" t="str">
        <f>VLOOKUP($A10,Tareas!$A$8:$P$63,4,FALSE)</f>
        <v>Implementar login, JWT y protección</v>
      </c>
      <c r="C10" s="12" t="str">
        <f>VLOOKUP($A10,Tareas!$A$8:$P$63,5,FALSE)</f>
        <v>Andy</v>
      </c>
      <c r="D10" s="19">
        <f>VLOOKUP($A10,Tareas!$A$8:$P$63,7,FALSE)</f>
        <v>46289</v>
      </c>
      <c r="E10" s="19">
        <f>VLOOKUP($A10,Tareas!$A$8:$P$63,8,FALSE)</f>
        <v>46289</v>
      </c>
      <c r="F10" s="12" t="str">
        <f>VLOOKUP($A10,Tareas!$A$8:$P$63,11,FALSE)</f>
        <v>En progreso</v>
      </c>
      <c r="G10" s="36" t="str">
        <f t="shared" si="0"/>
        <v/>
      </c>
      <c r="H10" s="37" t="str">
        <f t="shared" si="0"/>
        <v/>
      </c>
      <c r="I10" s="37" t="str">
        <f t="shared" si="0"/>
        <v/>
      </c>
      <c r="J10" s="37" t="str">
        <f t="shared" si="0"/>
        <v/>
      </c>
      <c r="K10" s="37" t="str">
        <f t="shared" si="0"/>
        <v/>
      </c>
      <c r="L10" s="37" t="str">
        <f t="shared" si="0"/>
        <v/>
      </c>
      <c r="M10" s="37" t="str">
        <f t="shared" si="0"/>
        <v/>
      </c>
      <c r="N10" s="37" t="str">
        <f t="shared" si="0"/>
        <v/>
      </c>
      <c r="O10" s="37" t="str">
        <f t="shared" si="0"/>
        <v/>
      </c>
      <c r="P10" s="37" t="str">
        <f t="shared" si="0"/>
        <v/>
      </c>
      <c r="Q10" s="37" t="str">
        <f t="shared" si="0"/>
        <v/>
      </c>
      <c r="R10" s="37" t="str">
        <f t="shared" si="0"/>
        <v/>
      </c>
      <c r="S10" s="37">
        <f t="shared" si="0"/>
        <v>1</v>
      </c>
      <c r="T10" s="38" t="str">
        <f t="shared" si="0"/>
        <v/>
      </c>
    </row>
    <row r="11" spans="1:20" ht="43.95" customHeight="1">
      <c r="A11" s="4" t="s">
        <v>24</v>
      </c>
      <c r="B11" s="4" t="str">
        <f>VLOOKUP($A11,Tareas!$A$8:$P$63,4,FALSE)</f>
        <v>Revisar catálogo y contrato de Free</v>
      </c>
      <c r="C11" s="4" t="str">
        <f>VLOOKUP($A11,Tareas!$A$8:$P$63,5,FALSE)</f>
        <v>Elden</v>
      </c>
      <c r="D11" s="18">
        <f>VLOOKUP($A11,Tareas!$A$8:$P$63,7,FALSE)</f>
        <v>46288</v>
      </c>
      <c r="E11" s="18">
        <f>VLOOKUP($A11,Tareas!$A$8:$P$63,8,FALSE)</f>
        <v>46288</v>
      </c>
      <c r="F11" s="4" t="str">
        <f>VLOOKUP($A11,Tareas!$A$8:$P$63,11,FALSE)</f>
        <v>Planificada</v>
      </c>
      <c r="G11" s="39" t="str">
        <f t="shared" si="0"/>
        <v/>
      </c>
      <c r="H11" s="40" t="str">
        <f t="shared" si="0"/>
        <v/>
      </c>
      <c r="I11" s="40" t="str">
        <f t="shared" si="0"/>
        <v/>
      </c>
      <c r="J11" s="40" t="str">
        <f t="shared" si="0"/>
        <v/>
      </c>
      <c r="K11" s="40" t="str">
        <f t="shared" si="0"/>
        <v/>
      </c>
      <c r="L11" s="40" t="str">
        <f t="shared" si="0"/>
        <v/>
      </c>
      <c r="M11" s="40" t="str">
        <f t="shared" si="0"/>
        <v/>
      </c>
      <c r="N11" s="40" t="str">
        <f t="shared" si="0"/>
        <v/>
      </c>
      <c r="O11" s="40" t="str">
        <f t="shared" si="0"/>
        <v/>
      </c>
      <c r="P11" s="40" t="str">
        <f t="shared" si="0"/>
        <v/>
      </c>
      <c r="Q11" s="40" t="str">
        <f t="shared" si="0"/>
        <v/>
      </c>
      <c r="R11" s="40">
        <f t="shared" si="0"/>
        <v>1</v>
      </c>
      <c r="S11" s="40" t="str">
        <f t="shared" si="0"/>
        <v/>
      </c>
      <c r="T11" s="41" t="str">
        <f t="shared" si="0"/>
        <v/>
      </c>
    </row>
    <row r="12" spans="1:20" ht="43.95" customHeight="1">
      <c r="A12" s="12" t="s">
        <v>25</v>
      </c>
      <c r="B12" s="12" t="str">
        <f>VLOOKUP($A12,Tareas!$A$8:$P$63,4,FALSE)</f>
        <v>Asignar Free al registrar</v>
      </c>
      <c r="C12" s="12" t="str">
        <f>VLOOKUP($A12,Tareas!$A$8:$P$63,5,FALSE)</f>
        <v>Elden</v>
      </c>
      <c r="D12" s="19">
        <f>VLOOKUP($A12,Tareas!$A$8:$P$63,7,FALSE)</f>
        <v>46289</v>
      </c>
      <c r="E12" s="19">
        <f>VLOOKUP($A12,Tareas!$A$8:$P$63,8,FALSE)</f>
        <v>46289</v>
      </c>
      <c r="F12" s="12" t="str">
        <f>VLOOKUP($A12,Tareas!$A$8:$P$63,11,FALSE)</f>
        <v>Hecha</v>
      </c>
      <c r="G12" s="36" t="str">
        <f t="shared" si="0"/>
        <v/>
      </c>
      <c r="H12" s="37" t="str">
        <f t="shared" si="0"/>
        <v/>
      </c>
      <c r="I12" s="37" t="str">
        <f t="shared" si="0"/>
        <v/>
      </c>
      <c r="J12" s="37" t="str">
        <f t="shared" si="0"/>
        <v/>
      </c>
      <c r="K12" s="37" t="str">
        <f t="shared" si="0"/>
        <v/>
      </c>
      <c r="L12" s="37" t="str">
        <f t="shared" si="0"/>
        <v/>
      </c>
      <c r="M12" s="37" t="str">
        <f t="shared" si="0"/>
        <v/>
      </c>
      <c r="N12" s="37" t="str">
        <f t="shared" si="0"/>
        <v/>
      </c>
      <c r="O12" s="37" t="str">
        <f t="shared" si="0"/>
        <v/>
      </c>
      <c r="P12" s="37" t="str">
        <f t="shared" si="0"/>
        <v/>
      </c>
      <c r="Q12" s="37" t="str">
        <f t="shared" si="0"/>
        <v/>
      </c>
      <c r="R12" s="37" t="str">
        <f t="shared" si="0"/>
        <v/>
      </c>
      <c r="S12" s="37">
        <f t="shared" si="0"/>
        <v>1</v>
      </c>
      <c r="T12" s="38" t="str">
        <f t="shared" si="0"/>
        <v/>
      </c>
    </row>
    <row r="13" spans="1:20" ht="43.95" customHeight="1">
      <c r="A13" s="4" t="s">
        <v>26</v>
      </c>
      <c r="B13" s="4" t="str">
        <f>VLOOKUP($A13,Tareas!$A$8:$P$63,4,FALSE)</f>
        <v>Aplicar capacidad y límites diarios</v>
      </c>
      <c r="C13" s="4" t="str">
        <f>VLOOKUP($A13,Tareas!$A$8:$P$63,5,FALSE)</f>
        <v>Elden</v>
      </c>
      <c r="D13" s="18">
        <f>VLOOKUP($A13,Tareas!$A$8:$P$63,7,FALSE)</f>
        <v>46289</v>
      </c>
      <c r="E13" s="18">
        <f>VLOOKUP($A13,Tareas!$A$8:$P$63,8,FALSE)</f>
        <v>46289</v>
      </c>
      <c r="F13" s="4" t="str">
        <f>VLOOKUP($A13,Tareas!$A$8:$P$63,11,FALSE)</f>
        <v>Pendiente</v>
      </c>
      <c r="G13" s="39" t="str">
        <f t="shared" si="0"/>
        <v/>
      </c>
      <c r="H13" s="40" t="str">
        <f t="shared" si="0"/>
        <v/>
      </c>
      <c r="I13" s="40" t="str">
        <f t="shared" si="0"/>
        <v/>
      </c>
      <c r="J13" s="40" t="str">
        <f t="shared" si="0"/>
        <v/>
      </c>
      <c r="K13" s="40" t="str">
        <f t="shared" si="0"/>
        <v/>
      </c>
      <c r="L13" s="40" t="str">
        <f t="shared" si="0"/>
        <v/>
      </c>
      <c r="M13" s="40" t="str">
        <f t="shared" si="0"/>
        <v/>
      </c>
      <c r="N13" s="40" t="str">
        <f t="shared" si="0"/>
        <v/>
      </c>
      <c r="O13" s="40" t="str">
        <f t="shared" si="0"/>
        <v/>
      </c>
      <c r="P13" s="40" t="str">
        <f t="shared" si="0"/>
        <v/>
      </c>
      <c r="Q13" s="40" t="str">
        <f t="shared" si="0"/>
        <v/>
      </c>
      <c r="R13" s="40" t="str">
        <f t="shared" si="0"/>
        <v/>
      </c>
      <c r="S13" s="40">
        <f t="shared" si="0"/>
        <v>1</v>
      </c>
      <c r="T13" s="41" t="str">
        <f t="shared" si="0"/>
        <v/>
      </c>
    </row>
    <row r="14" spans="1:20" ht="43.95" customHeight="1">
      <c r="A14" s="12" t="s">
        <v>27</v>
      </c>
      <c r="B14" s="12" t="str">
        <f>VLOOKUP($A14,Tareas!$A$8:$P$63,4,FALSE)</f>
        <v>Validar archivo y calcular SHA-256</v>
      </c>
      <c r="C14" s="12" t="str">
        <f>VLOOKUP($A14,Tareas!$A$8:$P$63,5,FALSE)</f>
        <v>Geovanny</v>
      </c>
      <c r="D14" s="19">
        <f>VLOOKUP($A14,Tareas!$A$8:$P$63,7,FALSE)</f>
        <v>46288</v>
      </c>
      <c r="E14" s="19">
        <f>VLOOKUP($A14,Tareas!$A$8:$P$63,8,FALSE)</f>
        <v>46288</v>
      </c>
      <c r="F14" s="12" t="str">
        <f>VLOOKUP($A14,Tareas!$A$8:$P$63,11,FALSE)</f>
        <v>Pendiente</v>
      </c>
      <c r="G14" s="36" t="str">
        <f t="shared" si="0"/>
        <v/>
      </c>
      <c r="H14" s="37" t="str">
        <f t="shared" si="0"/>
        <v/>
      </c>
      <c r="I14" s="37" t="str">
        <f t="shared" si="0"/>
        <v/>
      </c>
      <c r="J14" s="37" t="str">
        <f t="shared" si="0"/>
        <v/>
      </c>
      <c r="K14" s="37" t="str">
        <f t="shared" si="0"/>
        <v/>
      </c>
      <c r="L14" s="37" t="str">
        <f t="shared" si="0"/>
        <v/>
      </c>
      <c r="M14" s="37" t="str">
        <f t="shared" si="0"/>
        <v/>
      </c>
      <c r="N14" s="37" t="str">
        <f t="shared" si="0"/>
        <v/>
      </c>
      <c r="O14" s="37" t="str">
        <f t="shared" si="0"/>
        <v/>
      </c>
      <c r="P14" s="37" t="str">
        <f t="shared" si="0"/>
        <v/>
      </c>
      <c r="Q14" s="37" t="str">
        <f t="shared" si="0"/>
        <v/>
      </c>
      <c r="R14" s="37">
        <f t="shared" si="0"/>
        <v>1</v>
      </c>
      <c r="S14" s="37" t="str">
        <f t="shared" si="0"/>
        <v/>
      </c>
      <c r="T14" s="38" t="str">
        <f t="shared" si="0"/>
        <v/>
      </c>
    </row>
    <row r="15" spans="1:20" ht="43.95" customHeight="1">
      <c r="A15" s="4" t="s">
        <v>28</v>
      </c>
      <c r="B15" s="4" t="str">
        <f>VLOOKUP($A15,Tareas!$A$8:$P$63,4,FALSE)</f>
        <v>Convertir a WebP y limpiar temporales</v>
      </c>
      <c r="C15" s="4" t="str">
        <f>VLOOKUP($A15,Tareas!$A$8:$P$63,5,FALSE)</f>
        <v>Geovanny</v>
      </c>
      <c r="D15" s="18">
        <f>VLOOKUP($A15,Tareas!$A$8:$P$63,7,FALSE)</f>
        <v>46289</v>
      </c>
      <c r="E15" s="18">
        <f>VLOOKUP($A15,Tareas!$A$8:$P$63,8,FALSE)</f>
        <v>46289</v>
      </c>
      <c r="F15" s="4" t="str">
        <f>VLOOKUP($A15,Tareas!$A$8:$P$63,11,FALSE)</f>
        <v>Pendiente</v>
      </c>
      <c r="G15" s="39" t="str">
        <f t="shared" si="0"/>
        <v/>
      </c>
      <c r="H15" s="40" t="str">
        <f t="shared" si="0"/>
        <v/>
      </c>
      <c r="I15" s="40" t="str">
        <f t="shared" si="0"/>
        <v/>
      </c>
      <c r="J15" s="40" t="str">
        <f t="shared" si="0"/>
        <v/>
      </c>
      <c r="K15" s="40" t="str">
        <f t="shared" si="0"/>
        <v/>
      </c>
      <c r="L15" s="40" t="str">
        <f t="shared" si="0"/>
        <v/>
      </c>
      <c r="M15" s="40" t="str">
        <f t="shared" si="0"/>
        <v/>
      </c>
      <c r="N15" s="40" t="str">
        <f t="shared" si="0"/>
        <v/>
      </c>
      <c r="O15" s="40" t="str">
        <f t="shared" si="0"/>
        <v/>
      </c>
      <c r="P15" s="40" t="str">
        <f t="shared" si="0"/>
        <v/>
      </c>
      <c r="Q15" s="40" t="str">
        <f t="shared" si="0"/>
        <v/>
      </c>
      <c r="R15" s="40" t="str">
        <f t="shared" si="0"/>
        <v/>
      </c>
      <c r="S15" s="40">
        <f t="shared" si="0"/>
        <v>1</v>
      </c>
      <c r="T15" s="41" t="str">
        <f t="shared" si="0"/>
        <v/>
      </c>
    </row>
    <row r="16" spans="1:20" ht="43.95" customHeight="1">
      <c r="A16" s="12" t="s">
        <v>29</v>
      </c>
      <c r="B16" s="12" t="str">
        <f>VLOOKUP($A16,Tareas!$A$8:$P$63,4,FALSE)</f>
        <v>Integrar carga y deduplicación global</v>
      </c>
      <c r="C16" s="12" t="str">
        <f>VLOOKUP($A16,Tareas!$A$8:$P$63,5,FALSE)</f>
        <v>Geovanny</v>
      </c>
      <c r="D16" s="19">
        <f>VLOOKUP($A16,Tareas!$A$8:$P$63,7,FALSE)</f>
        <v>46289</v>
      </c>
      <c r="E16" s="19">
        <f>VLOOKUP($A16,Tareas!$A$8:$P$63,8,FALSE)</f>
        <v>46289</v>
      </c>
      <c r="F16" s="12" t="str">
        <f>VLOOKUP($A16,Tareas!$A$8:$P$63,11,FALSE)</f>
        <v>Pendiente</v>
      </c>
      <c r="G16" s="36" t="str">
        <f t="shared" si="0"/>
        <v/>
      </c>
      <c r="H16" s="37" t="str">
        <f t="shared" si="0"/>
        <v/>
      </c>
      <c r="I16" s="37" t="str">
        <f t="shared" si="0"/>
        <v/>
      </c>
      <c r="J16" s="37" t="str">
        <f t="shared" si="0"/>
        <v/>
      </c>
      <c r="K16" s="37" t="str">
        <f t="shared" si="0"/>
        <v/>
      </c>
      <c r="L16" s="37" t="str">
        <f t="shared" si="0"/>
        <v/>
      </c>
      <c r="M16" s="37" t="str">
        <f t="shared" si="0"/>
        <v/>
      </c>
      <c r="N16" s="37" t="str">
        <f t="shared" si="0"/>
        <v/>
      </c>
      <c r="O16" s="37" t="str">
        <f t="shared" si="0"/>
        <v/>
      </c>
      <c r="P16" s="37" t="str">
        <f t="shared" si="0"/>
        <v/>
      </c>
      <c r="Q16" s="37" t="str">
        <f t="shared" si="0"/>
        <v/>
      </c>
      <c r="R16" s="37" t="str">
        <f t="shared" si="0"/>
        <v/>
      </c>
      <c r="S16" s="37">
        <f t="shared" si="0"/>
        <v>1</v>
      </c>
      <c r="T16" s="38" t="str">
        <f t="shared" si="0"/>
        <v/>
      </c>
    </row>
    <row r="17" spans="1:20" ht="43.95" customHeight="1">
      <c r="A17" s="4" t="s">
        <v>30</v>
      </c>
      <c r="B17" s="4" t="str">
        <f>VLOOKUP($A17,Tareas!$A$8:$P$63,4,FALSE)</f>
        <v>Proteger galería y descarga WebP</v>
      </c>
      <c r="C17" s="4" t="str">
        <f>VLOOKUP($A17,Tareas!$A$8:$P$63,5,FALSE)</f>
        <v>Geovanny</v>
      </c>
      <c r="D17" s="18">
        <f>VLOOKUP($A17,Tareas!$A$8:$P$63,7,FALSE)</f>
        <v>46290</v>
      </c>
      <c r="E17" s="18">
        <f>VLOOKUP($A17,Tareas!$A$8:$P$63,8,FALSE)</f>
        <v>46290</v>
      </c>
      <c r="F17" s="4" t="str">
        <f>VLOOKUP($A17,Tareas!$A$8:$P$63,11,FALSE)</f>
        <v>Pendiente</v>
      </c>
      <c r="G17" s="39" t="str">
        <f t="shared" si="0"/>
        <v/>
      </c>
      <c r="H17" s="40" t="str">
        <f t="shared" si="0"/>
        <v/>
      </c>
      <c r="I17" s="40" t="str">
        <f t="shared" si="0"/>
        <v/>
      </c>
      <c r="J17" s="40" t="str">
        <f t="shared" si="0"/>
        <v/>
      </c>
      <c r="K17" s="40" t="str">
        <f t="shared" si="0"/>
        <v/>
      </c>
      <c r="L17" s="40" t="str">
        <f t="shared" si="0"/>
        <v/>
      </c>
      <c r="M17" s="40" t="str">
        <f t="shared" si="0"/>
        <v/>
      </c>
      <c r="N17" s="40" t="str">
        <f t="shared" si="0"/>
        <v/>
      </c>
      <c r="O17" s="40" t="str">
        <f t="shared" si="0"/>
        <v/>
      </c>
      <c r="P17" s="40" t="str">
        <f t="shared" si="0"/>
        <v/>
      </c>
      <c r="Q17" s="40" t="str">
        <f t="shared" si="0"/>
        <v/>
      </c>
      <c r="R17" s="40" t="str">
        <f t="shared" si="0"/>
        <v/>
      </c>
      <c r="S17" s="40" t="str">
        <f t="shared" si="0"/>
        <v/>
      </c>
      <c r="T17" s="41">
        <f t="shared" si="0"/>
        <v>1</v>
      </c>
    </row>
    <row r="18" spans="1:20" ht="43.95" customHeight="1">
      <c r="A18" s="12" t="s">
        <v>31</v>
      </c>
      <c r="B18" s="12" t="str">
        <f>VLOOKUP($A18,Tareas!$A$8:$P$63,4,FALSE)</f>
        <v>Preparar formularios y estados de interfaz</v>
      </c>
      <c r="C18" s="12" t="str">
        <f>VLOOKUP($A18,Tareas!$A$8:$P$63,5,FALSE)</f>
        <v>Diego</v>
      </c>
      <c r="D18" s="19">
        <f>VLOOKUP($A18,Tareas!$A$8:$P$63,7,FALSE)</f>
        <v>46288</v>
      </c>
      <c r="E18" s="19">
        <f>VLOOKUP($A18,Tareas!$A$8:$P$63,8,FALSE)</f>
        <v>46288</v>
      </c>
      <c r="F18" s="12" t="str">
        <f>VLOOKUP($A18,Tareas!$A$8:$P$63,11,FALSE)</f>
        <v>Pendiente</v>
      </c>
      <c r="G18" s="36" t="str">
        <f t="shared" ref="G18:T23" si="1">IF(AND(G$7&gt;=$D18,G$7&lt;=$E18),1,"")</f>
        <v/>
      </c>
      <c r="H18" s="37" t="str">
        <f t="shared" si="1"/>
        <v/>
      </c>
      <c r="I18" s="37" t="str">
        <f t="shared" si="1"/>
        <v/>
      </c>
      <c r="J18" s="37" t="str">
        <f t="shared" si="1"/>
        <v/>
      </c>
      <c r="K18" s="37" t="str">
        <f t="shared" si="1"/>
        <v/>
      </c>
      <c r="L18" s="37" t="str">
        <f t="shared" si="1"/>
        <v/>
      </c>
      <c r="M18" s="37" t="str">
        <f t="shared" si="1"/>
        <v/>
      </c>
      <c r="N18" s="37" t="str">
        <f t="shared" si="1"/>
        <v/>
      </c>
      <c r="O18" s="37" t="str">
        <f t="shared" si="1"/>
        <v/>
      </c>
      <c r="P18" s="37" t="str">
        <f t="shared" si="1"/>
        <v/>
      </c>
      <c r="Q18" s="37" t="str">
        <f t="shared" si="1"/>
        <v/>
      </c>
      <c r="R18" s="37">
        <f t="shared" si="1"/>
        <v>1</v>
      </c>
      <c r="S18" s="37" t="str">
        <f t="shared" si="1"/>
        <v/>
      </c>
      <c r="T18" s="38" t="str">
        <f t="shared" si="1"/>
        <v/>
      </c>
    </row>
    <row r="19" spans="1:20" ht="43.95" customHeight="1">
      <c r="A19" s="4" t="s">
        <v>32</v>
      </c>
      <c r="B19" s="4" t="str">
        <f>VLOOKUP($A19,Tareas!$A$8:$P$63,4,FALSE)</f>
        <v>Conectar acceso, Free, carga y galería</v>
      </c>
      <c r="C19" s="4" t="str">
        <f>VLOOKUP($A19,Tareas!$A$8:$P$63,5,FALSE)</f>
        <v>Diego</v>
      </c>
      <c r="D19" s="18">
        <f>VLOOKUP($A19,Tareas!$A$8:$P$63,7,FALSE)</f>
        <v>46289</v>
      </c>
      <c r="E19" s="18">
        <f>VLOOKUP($A19,Tareas!$A$8:$P$63,8,FALSE)</f>
        <v>46290</v>
      </c>
      <c r="F19" s="4" t="str">
        <f>VLOOKUP($A19,Tareas!$A$8:$P$63,11,FALSE)</f>
        <v>Pendiente</v>
      </c>
      <c r="G19" s="39" t="str">
        <f t="shared" si="1"/>
        <v/>
      </c>
      <c r="H19" s="40" t="str">
        <f t="shared" si="1"/>
        <v/>
      </c>
      <c r="I19" s="40" t="str">
        <f t="shared" si="1"/>
        <v/>
      </c>
      <c r="J19" s="40" t="str">
        <f t="shared" si="1"/>
        <v/>
      </c>
      <c r="K19" s="40" t="str">
        <f t="shared" si="1"/>
        <v/>
      </c>
      <c r="L19" s="40" t="str">
        <f t="shared" si="1"/>
        <v/>
      </c>
      <c r="M19" s="40" t="str">
        <f t="shared" si="1"/>
        <v/>
      </c>
      <c r="N19" s="40" t="str">
        <f t="shared" si="1"/>
        <v/>
      </c>
      <c r="O19" s="40" t="str">
        <f t="shared" si="1"/>
        <v/>
      </c>
      <c r="P19" s="40" t="str">
        <f t="shared" si="1"/>
        <v/>
      </c>
      <c r="Q19" s="40" t="str">
        <f t="shared" si="1"/>
        <v/>
      </c>
      <c r="R19" s="40" t="str">
        <f t="shared" si="1"/>
        <v/>
      </c>
      <c r="S19" s="40">
        <f t="shared" si="1"/>
        <v>1</v>
      </c>
      <c r="T19" s="41">
        <f t="shared" si="1"/>
        <v>1</v>
      </c>
    </row>
    <row r="20" spans="1:20" ht="43.95" customHeight="1">
      <c r="A20" s="12" t="s">
        <v>33</v>
      </c>
      <c r="B20" s="12" t="str">
        <f>VLOOKUP($A20,Tareas!$A$8:$P$63,4,FALSE)</f>
        <v>Calcular ahorro básico del administrador</v>
      </c>
      <c r="C20" s="12" t="str">
        <f>VLOOKUP($A20,Tareas!$A$8:$P$63,5,FALSE)</f>
        <v>Geovanny</v>
      </c>
      <c r="D20" s="19">
        <f>VLOOKUP($A20,Tareas!$A$8:$P$63,7,FALSE)</f>
        <v>46290</v>
      </c>
      <c r="E20" s="19">
        <f>VLOOKUP($A20,Tareas!$A$8:$P$63,8,FALSE)</f>
        <v>46290</v>
      </c>
      <c r="F20" s="12" t="str">
        <f>VLOOKUP($A20,Tareas!$A$8:$P$63,11,FALSE)</f>
        <v>Pendiente</v>
      </c>
      <c r="G20" s="36" t="str">
        <f t="shared" si="1"/>
        <v/>
      </c>
      <c r="H20" s="37" t="str">
        <f t="shared" si="1"/>
        <v/>
      </c>
      <c r="I20" s="37" t="str">
        <f t="shared" si="1"/>
        <v/>
      </c>
      <c r="J20" s="37" t="str">
        <f t="shared" si="1"/>
        <v/>
      </c>
      <c r="K20" s="37" t="str">
        <f t="shared" si="1"/>
        <v/>
      </c>
      <c r="L20" s="37" t="str">
        <f t="shared" si="1"/>
        <v/>
      </c>
      <c r="M20" s="37" t="str">
        <f t="shared" si="1"/>
        <v/>
      </c>
      <c r="N20" s="37" t="str">
        <f t="shared" si="1"/>
        <v/>
      </c>
      <c r="O20" s="37" t="str">
        <f t="shared" si="1"/>
        <v/>
      </c>
      <c r="P20" s="37" t="str">
        <f t="shared" si="1"/>
        <v/>
      </c>
      <c r="Q20" s="37" t="str">
        <f t="shared" si="1"/>
        <v/>
      </c>
      <c r="R20" s="37" t="str">
        <f t="shared" si="1"/>
        <v/>
      </c>
      <c r="S20" s="37" t="str">
        <f t="shared" si="1"/>
        <v/>
      </c>
      <c r="T20" s="38">
        <f t="shared" si="1"/>
        <v>1</v>
      </c>
    </row>
    <row r="21" spans="1:20" ht="43.95" customHeight="1">
      <c r="A21" s="4" t="s">
        <v>34</v>
      </c>
      <c r="B21" s="4" t="str">
        <f>VLOOKUP($A21,Tareas!$A$8:$P$63,4,FALSE)</f>
        <v>Actualizar requisitos y diagramas</v>
      </c>
      <c r="C21" s="4" t="str">
        <f>VLOOKUP($A21,Tareas!$A$8:$P$63,5,FALSE)</f>
        <v>Equipo</v>
      </c>
      <c r="D21" s="18">
        <f>VLOOKUP($A21,Tareas!$A$8:$P$63,7,FALSE)</f>
        <v>46288</v>
      </c>
      <c r="E21" s="18">
        <f>VLOOKUP($A21,Tareas!$A$8:$P$63,8,FALSE)</f>
        <v>46289</v>
      </c>
      <c r="F21" s="4" t="str">
        <f>VLOOKUP($A21,Tareas!$A$8:$P$63,11,FALSE)</f>
        <v>Pendiente</v>
      </c>
      <c r="G21" s="39" t="str">
        <f t="shared" si="1"/>
        <v/>
      </c>
      <c r="H21" s="40" t="str">
        <f t="shared" si="1"/>
        <v/>
      </c>
      <c r="I21" s="40" t="str">
        <f t="shared" si="1"/>
        <v/>
      </c>
      <c r="J21" s="40" t="str">
        <f t="shared" si="1"/>
        <v/>
      </c>
      <c r="K21" s="40" t="str">
        <f t="shared" si="1"/>
        <v/>
      </c>
      <c r="L21" s="40" t="str">
        <f t="shared" si="1"/>
        <v/>
      </c>
      <c r="M21" s="40" t="str">
        <f t="shared" si="1"/>
        <v/>
      </c>
      <c r="N21" s="40" t="str">
        <f t="shared" si="1"/>
        <v/>
      </c>
      <c r="O21" s="40" t="str">
        <f t="shared" si="1"/>
        <v/>
      </c>
      <c r="P21" s="40" t="str">
        <f t="shared" si="1"/>
        <v/>
      </c>
      <c r="Q21" s="40" t="str">
        <f t="shared" si="1"/>
        <v/>
      </c>
      <c r="R21" s="40">
        <f t="shared" si="1"/>
        <v>1</v>
      </c>
      <c r="S21" s="40">
        <f t="shared" si="1"/>
        <v>1</v>
      </c>
      <c r="T21" s="41" t="str">
        <f t="shared" si="1"/>
        <v/>
      </c>
    </row>
    <row r="22" spans="1:20" ht="43.95" customHeight="1">
      <c r="A22" s="12" t="s">
        <v>35</v>
      </c>
      <c r="B22" s="12" t="str">
        <f>VLOOKUP($A22,Tareas!$A$8:$P$63,4,FALSE)</f>
        <v>Probar flujo del 30% con dos cuentas</v>
      </c>
      <c r="C22" s="12" t="str">
        <f>VLOOKUP($A22,Tareas!$A$8:$P$63,5,FALSE)</f>
        <v>Equipo</v>
      </c>
      <c r="D22" s="19">
        <f>VLOOKUP($A22,Tareas!$A$8:$P$63,7,FALSE)</f>
        <v>46290</v>
      </c>
      <c r="E22" s="19">
        <f>VLOOKUP($A22,Tareas!$A$8:$P$63,8,FALSE)</f>
        <v>46290</v>
      </c>
      <c r="F22" s="12" t="str">
        <f>VLOOKUP($A22,Tareas!$A$8:$P$63,11,FALSE)</f>
        <v>Pendiente</v>
      </c>
      <c r="G22" s="36" t="str">
        <f t="shared" si="1"/>
        <v/>
      </c>
      <c r="H22" s="37" t="str">
        <f t="shared" si="1"/>
        <v/>
      </c>
      <c r="I22" s="37" t="str">
        <f t="shared" si="1"/>
        <v/>
      </c>
      <c r="J22" s="37" t="str">
        <f t="shared" si="1"/>
        <v/>
      </c>
      <c r="K22" s="37" t="str">
        <f t="shared" si="1"/>
        <v/>
      </c>
      <c r="L22" s="37" t="str">
        <f t="shared" si="1"/>
        <v/>
      </c>
      <c r="M22" s="37" t="str">
        <f t="shared" si="1"/>
        <v/>
      </c>
      <c r="N22" s="37" t="str">
        <f t="shared" si="1"/>
        <v/>
      </c>
      <c r="O22" s="37" t="str">
        <f t="shared" si="1"/>
        <v/>
      </c>
      <c r="P22" s="37" t="str">
        <f t="shared" si="1"/>
        <v/>
      </c>
      <c r="Q22" s="37" t="str">
        <f t="shared" si="1"/>
        <v/>
      </c>
      <c r="R22" s="37" t="str">
        <f t="shared" si="1"/>
        <v/>
      </c>
      <c r="S22" s="37" t="str">
        <f t="shared" si="1"/>
        <v/>
      </c>
      <c r="T22" s="38">
        <f t="shared" si="1"/>
        <v>1</v>
      </c>
    </row>
    <row r="23" spans="1:20" ht="43.95" customHeight="1">
      <c r="A23" s="4" t="s">
        <v>36</v>
      </c>
      <c r="B23" s="4" t="str">
        <f>VLOOKUP($A23,Tareas!$A$8:$P$63,4,FALSE)</f>
        <v>Corregir, revisar PR y presentar 30%</v>
      </c>
      <c r="C23" s="4" t="str">
        <f>VLOOKUP($A23,Tareas!$A$8:$P$63,5,FALSE)</f>
        <v>Equipo</v>
      </c>
      <c r="D23" s="18">
        <f>VLOOKUP($A23,Tareas!$A$8:$P$63,7,FALSE)</f>
        <v>46290</v>
      </c>
      <c r="E23" s="18">
        <f>VLOOKUP($A23,Tareas!$A$8:$P$63,8,FALSE)</f>
        <v>46290</v>
      </c>
      <c r="F23" s="4" t="str">
        <f>VLOOKUP($A23,Tareas!$A$8:$P$63,11,FALSE)</f>
        <v>Pendiente</v>
      </c>
      <c r="G23" s="42" t="str">
        <f t="shared" si="1"/>
        <v/>
      </c>
      <c r="H23" s="43" t="str">
        <f t="shared" si="1"/>
        <v/>
      </c>
      <c r="I23" s="43" t="str">
        <f t="shared" si="1"/>
        <v/>
      </c>
      <c r="J23" s="43" t="str">
        <f t="shared" si="1"/>
        <v/>
      </c>
      <c r="K23" s="43" t="str">
        <f t="shared" si="1"/>
        <v/>
      </c>
      <c r="L23" s="43" t="str">
        <f t="shared" si="1"/>
        <v/>
      </c>
      <c r="M23" s="43" t="str">
        <f t="shared" si="1"/>
        <v/>
      </c>
      <c r="N23" s="43" t="str">
        <f t="shared" si="1"/>
        <v/>
      </c>
      <c r="O23" s="43" t="str">
        <f t="shared" si="1"/>
        <v/>
      </c>
      <c r="P23" s="43" t="str">
        <f t="shared" si="1"/>
        <v/>
      </c>
      <c r="Q23" s="43" t="str">
        <f t="shared" si="1"/>
        <v/>
      </c>
      <c r="R23" s="43" t="str">
        <f t="shared" si="1"/>
        <v/>
      </c>
      <c r="S23" s="43" t="str">
        <f t="shared" si="1"/>
        <v/>
      </c>
      <c r="T23" s="44">
        <f t="shared" si="1"/>
        <v>1</v>
      </c>
    </row>
    <row r="24" spans="1:20" ht="25.0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25.0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</sheetData>
  <conditionalFormatting sqref="G8:T8">
    <cfRule type="cellIs" dxfId="3" priority="1" operator="equal">
      <formula>1</formula>
    </cfRule>
  </conditionalFormatting>
  <conditionalFormatting sqref="G9:T23">
    <cfRule type="cellIs" dxfId="2" priority="2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196B2"/>
  </sheetPr>
  <dimension ref="A1:P63"/>
  <sheetViews>
    <sheetView showGridLines="0" tabSelected="1" workbookViewId="0">
      <pane xSplit="4" ySplit="7" topLeftCell="F8" activePane="bottomRight" state="frozen"/>
      <selection pane="topRight"/>
      <selection pane="bottomLeft"/>
      <selection pane="bottomRight" activeCell="K22" sqref="K22"/>
    </sheetView>
  </sheetViews>
  <sheetFormatPr baseColWidth="10" defaultColWidth="8.796875" defaultRowHeight="13.8"/>
  <cols>
    <col min="1" max="1" width="9.5" customWidth="1"/>
    <col min="2" max="2" width="6.8984375" customWidth="1"/>
    <col min="3" max="3" width="15.19921875" customWidth="1"/>
    <col min="4" max="4" width="35" customWidth="1"/>
    <col min="5" max="5" width="14.3984375" customWidth="1"/>
    <col min="6" max="6" width="17.5" customWidth="1"/>
    <col min="7" max="8" width="12.8984375" customWidth="1"/>
    <col min="9" max="9" width="10.59765625" customWidth="1"/>
    <col min="10" max="10" width="21.8984375" customWidth="1"/>
    <col min="11" max="11" width="16" customWidth="1"/>
    <col min="12" max="12" width="60" customWidth="1"/>
    <col min="13" max="13" width="37.5" customWidth="1"/>
    <col min="14" max="14" width="14" customWidth="1"/>
    <col min="15" max="15" width="18.09765625" customWidth="1"/>
    <col min="16" max="16" width="16.8984375" customWidth="1"/>
  </cols>
  <sheetData>
    <row r="1" spans="1:16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0" customHeight="1">
      <c r="A2" s="2" t="s">
        <v>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5.05" customHeight="1">
      <c r="A3" s="3" t="s">
        <v>74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5.05" customHeight="1">
      <c r="A4" s="3" t="s">
        <v>75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5.05" customHeight="1">
      <c r="A5" s="3" t="s">
        <v>76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5.05" customHeight="1">
      <c r="A6" s="3" t="s">
        <v>77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34.049999999999997" customHeight="1">
      <c r="A7" s="5" t="s">
        <v>72</v>
      </c>
      <c r="B7" s="5" t="s">
        <v>78</v>
      </c>
      <c r="C7" s="5" t="s">
        <v>79</v>
      </c>
      <c r="D7" s="5" t="s">
        <v>6</v>
      </c>
      <c r="E7" s="5" t="s">
        <v>7</v>
      </c>
      <c r="F7" s="5" t="s">
        <v>80</v>
      </c>
      <c r="G7" s="5" t="s">
        <v>81</v>
      </c>
      <c r="H7" s="5" t="s">
        <v>82</v>
      </c>
      <c r="I7" s="5" t="s">
        <v>83</v>
      </c>
      <c r="J7" s="5" t="s">
        <v>84</v>
      </c>
      <c r="K7" s="5" t="s">
        <v>10</v>
      </c>
      <c r="L7" s="5" t="s">
        <v>85</v>
      </c>
      <c r="M7" s="5" t="s">
        <v>86</v>
      </c>
      <c r="N7" s="5" t="s">
        <v>87</v>
      </c>
      <c r="O7" s="5" t="s">
        <v>88</v>
      </c>
      <c r="P7" s="5" t="s">
        <v>89</v>
      </c>
    </row>
    <row r="8" spans="1:16" ht="70.05" customHeight="1">
      <c r="A8" s="4" t="s">
        <v>11</v>
      </c>
      <c r="B8" s="4" t="s">
        <v>90</v>
      </c>
      <c r="C8" s="4" t="s">
        <v>91</v>
      </c>
      <c r="D8" s="4" t="s">
        <v>92</v>
      </c>
      <c r="E8" s="4" t="s">
        <v>93</v>
      </c>
      <c r="F8" s="4" t="s">
        <v>94</v>
      </c>
      <c r="G8" s="8">
        <v>46258</v>
      </c>
      <c r="H8" s="8">
        <v>46259</v>
      </c>
      <c r="I8" s="7">
        <f t="shared" ref="I8:I39" si="0">IF(OR(G8="",H8=""),"",H8-G8+1)</f>
        <v>2</v>
      </c>
      <c r="J8" s="4" t="s">
        <v>95</v>
      </c>
      <c r="K8" s="9" t="s">
        <v>353</v>
      </c>
      <c r="L8" s="4" t="s">
        <v>97</v>
      </c>
      <c r="M8" s="9"/>
      <c r="N8" s="6"/>
      <c r="O8" s="4">
        <f>IF(COUNT(G8:H8)&lt;2,"Faltan fechas",MIN(H8-G8,VLOOKUP(B8,'Entregas y equipo'!$A$8:$D$13,4,FALSE)-H8,G8-N8))</f>
        <v>1</v>
      </c>
      <c r="P8" s="4" t="s">
        <v>98</v>
      </c>
    </row>
    <row r="9" spans="1:16" ht="70.05" customHeight="1">
      <c r="A9" s="4" t="s">
        <v>12</v>
      </c>
      <c r="B9" s="4" t="s">
        <v>90</v>
      </c>
      <c r="C9" s="4" t="s">
        <v>99</v>
      </c>
      <c r="D9" s="4" t="s">
        <v>100</v>
      </c>
      <c r="E9" s="4" t="s">
        <v>93</v>
      </c>
      <c r="F9" s="4" t="s">
        <v>94</v>
      </c>
      <c r="G9" s="8">
        <v>46259</v>
      </c>
      <c r="H9" s="8">
        <v>46261</v>
      </c>
      <c r="I9" s="7">
        <f t="shared" si="0"/>
        <v>3</v>
      </c>
      <c r="J9" s="4" t="s">
        <v>11</v>
      </c>
      <c r="K9" s="9" t="s">
        <v>353</v>
      </c>
      <c r="L9" s="4" t="s">
        <v>101</v>
      </c>
      <c r="M9" s="9"/>
      <c r="N9" s="6">
        <f>MAX(VLOOKUP("S0-01",$A$8:$P$63,8,FALSE))</f>
        <v>46259</v>
      </c>
      <c r="O9" s="4">
        <f>IF(COUNT(G9:H9)&lt;2,"Faltan fechas",MIN(H9-G9,VLOOKUP(B9,'Entregas y equipo'!$A$8:$D$13,4,FALSE)-H9,G9-N9))</f>
        <v>0</v>
      </c>
      <c r="P9" s="4" t="s">
        <v>98</v>
      </c>
    </row>
    <row r="10" spans="1:16" ht="70.05" customHeight="1">
      <c r="A10" s="4" t="s">
        <v>13</v>
      </c>
      <c r="B10" s="4" t="s">
        <v>90</v>
      </c>
      <c r="C10" s="4" t="s">
        <v>102</v>
      </c>
      <c r="D10" s="4" t="s">
        <v>103</v>
      </c>
      <c r="E10" s="4" t="s">
        <v>93</v>
      </c>
      <c r="F10" s="4" t="s">
        <v>94</v>
      </c>
      <c r="G10" s="8">
        <v>46260</v>
      </c>
      <c r="H10" s="8">
        <v>46261</v>
      </c>
      <c r="I10" s="7">
        <f t="shared" si="0"/>
        <v>2</v>
      </c>
      <c r="J10" s="4" t="s">
        <v>11</v>
      </c>
      <c r="K10" s="9" t="s">
        <v>134</v>
      </c>
      <c r="L10" s="4" t="s">
        <v>104</v>
      </c>
      <c r="M10" s="9"/>
      <c r="N10" s="6">
        <f>MAX(VLOOKUP("S0-01",$A$8:$P$63,8,FALSE))</f>
        <v>46259</v>
      </c>
      <c r="O10" s="4">
        <f>IF(COUNT(G10:H10)&lt;2,"Faltan fechas",MIN(H10-G10,VLOOKUP(B10,'Entregas y equipo'!$A$8:$D$13,4,FALSE)-H10,G10-N10))</f>
        <v>1</v>
      </c>
      <c r="P10" s="4" t="s">
        <v>98</v>
      </c>
    </row>
    <row r="11" spans="1:16" ht="70.05" customHeight="1">
      <c r="A11" s="4" t="s">
        <v>14</v>
      </c>
      <c r="B11" s="4" t="s">
        <v>90</v>
      </c>
      <c r="C11" s="4" t="s">
        <v>105</v>
      </c>
      <c r="D11" s="4" t="s">
        <v>106</v>
      </c>
      <c r="E11" s="4" t="s">
        <v>93</v>
      </c>
      <c r="F11" s="4" t="s">
        <v>94</v>
      </c>
      <c r="G11" s="8">
        <v>46262</v>
      </c>
      <c r="H11" s="8">
        <v>46262</v>
      </c>
      <c r="I11" s="7">
        <f t="shared" si="0"/>
        <v>1</v>
      </c>
      <c r="J11" s="4" t="s">
        <v>107</v>
      </c>
      <c r="K11" s="9" t="s">
        <v>353</v>
      </c>
      <c r="L11" s="4" t="s">
        <v>108</v>
      </c>
      <c r="M11" s="9"/>
      <c r="N11" s="6">
        <f>MAX(VLOOKUP("S0-02",$A$8:$P$63,8,FALSE),VLOOKUP("S0-03",$A$8:$P$63,8,FALSE))</f>
        <v>46261</v>
      </c>
      <c r="O11" s="4">
        <f>IF(COUNT(G11:H11)&lt;2,"Faltan fechas",MIN(H11-G11,VLOOKUP(B11,'Entregas y equipo'!$A$8:$D$13,4,FALSE)-H11,G11-N11))</f>
        <v>0</v>
      </c>
      <c r="P11" s="4" t="s">
        <v>98</v>
      </c>
    </row>
    <row r="12" spans="1:16" ht="70.05" customHeight="1">
      <c r="A12" s="4" t="s">
        <v>15</v>
      </c>
      <c r="B12" s="4" t="s">
        <v>109</v>
      </c>
      <c r="C12" s="4" t="s">
        <v>110</v>
      </c>
      <c r="D12" s="4" t="s">
        <v>111</v>
      </c>
      <c r="E12" s="4" t="s">
        <v>112</v>
      </c>
      <c r="F12" s="4" t="s">
        <v>113</v>
      </c>
      <c r="G12" s="8">
        <v>46265</v>
      </c>
      <c r="H12" s="8">
        <v>46268</v>
      </c>
      <c r="I12" s="7">
        <f t="shared" si="0"/>
        <v>4</v>
      </c>
      <c r="J12" s="4" t="s">
        <v>14</v>
      </c>
      <c r="K12" s="9" t="s">
        <v>353</v>
      </c>
      <c r="L12" s="4" t="s">
        <v>114</v>
      </c>
      <c r="M12" s="9"/>
      <c r="N12" s="6">
        <f>MAX(VLOOKUP("S0-04",$A$8:$P$63,8,FALSE))</f>
        <v>46262</v>
      </c>
      <c r="O12" s="4">
        <f>IF(COUNT(G12:H12)&lt;2,"Faltan fechas",MIN(H12-G12,VLOOKUP(B12,'Entregas y equipo'!$A$8:$D$13,4,FALSE)-H12,G12-N12))</f>
        <v>3</v>
      </c>
      <c r="P12" s="4" t="s">
        <v>115</v>
      </c>
    </row>
    <row r="13" spans="1:16" ht="70.05" customHeight="1">
      <c r="A13" s="4" t="s">
        <v>16</v>
      </c>
      <c r="B13" s="4" t="s">
        <v>109</v>
      </c>
      <c r="C13" s="4" t="s">
        <v>110</v>
      </c>
      <c r="D13" s="4" t="s">
        <v>116</v>
      </c>
      <c r="E13" s="4" t="s">
        <v>117</v>
      </c>
      <c r="F13" s="4" t="s">
        <v>112</v>
      </c>
      <c r="G13" s="8">
        <v>46265</v>
      </c>
      <c r="H13" s="8">
        <v>46268</v>
      </c>
      <c r="I13" s="7">
        <f t="shared" si="0"/>
        <v>4</v>
      </c>
      <c r="J13" s="4" t="s">
        <v>14</v>
      </c>
      <c r="K13" s="9" t="s">
        <v>353</v>
      </c>
      <c r="L13" s="4" t="s">
        <v>118</v>
      </c>
      <c r="M13" s="9"/>
      <c r="N13" s="6">
        <f>MAX(VLOOKUP("S0-04",$A$8:$P$63,8,FALSE))</f>
        <v>46262</v>
      </c>
      <c r="O13" s="4">
        <f>IF(COUNT(G13:H13)&lt;2,"Faltan fechas",MIN(H13-G13,VLOOKUP(B13,'Entregas y equipo'!$A$8:$D$13,4,FALSE)-H13,G13-N13))</f>
        <v>3</v>
      </c>
      <c r="P13" s="4" t="s">
        <v>115</v>
      </c>
    </row>
    <row r="14" spans="1:16" ht="70.05" customHeight="1">
      <c r="A14" s="4" t="s">
        <v>17</v>
      </c>
      <c r="B14" s="4" t="s">
        <v>109</v>
      </c>
      <c r="C14" s="4" t="s">
        <v>110</v>
      </c>
      <c r="D14" s="4" t="s">
        <v>119</v>
      </c>
      <c r="E14" s="4" t="s">
        <v>120</v>
      </c>
      <c r="F14" s="4" t="s">
        <v>117</v>
      </c>
      <c r="G14" s="8">
        <v>46265</v>
      </c>
      <c r="H14" s="8">
        <v>46268</v>
      </c>
      <c r="I14" s="7">
        <f t="shared" si="0"/>
        <v>4</v>
      </c>
      <c r="J14" s="4" t="s">
        <v>14</v>
      </c>
      <c r="K14" s="9" t="s">
        <v>96</v>
      </c>
      <c r="L14" s="4" t="s">
        <v>121</v>
      </c>
      <c r="M14" s="9"/>
      <c r="N14" s="6">
        <f>MAX(VLOOKUP("S0-04",$A$8:$P$63,8,FALSE))</f>
        <v>46262</v>
      </c>
      <c r="O14" s="4">
        <f>IF(COUNT(G14:H14)&lt;2,"Faltan fechas",MIN(H14-G14,VLOOKUP(B14,'Entregas y equipo'!$A$8:$D$13,4,FALSE)-H14,G14-N14))</f>
        <v>3</v>
      </c>
      <c r="P14" s="4" t="s">
        <v>115</v>
      </c>
    </row>
    <row r="15" spans="1:16" ht="70.05" customHeight="1">
      <c r="A15" s="4" t="s">
        <v>18</v>
      </c>
      <c r="B15" s="4" t="s">
        <v>109</v>
      </c>
      <c r="C15" s="4" t="s">
        <v>122</v>
      </c>
      <c r="D15" s="4" t="s">
        <v>123</v>
      </c>
      <c r="E15" s="4" t="s">
        <v>113</v>
      </c>
      <c r="F15" s="4" t="s">
        <v>94</v>
      </c>
      <c r="G15" s="8">
        <v>46265</v>
      </c>
      <c r="H15" s="8">
        <v>46273</v>
      </c>
      <c r="I15" s="7">
        <f t="shared" si="0"/>
        <v>9</v>
      </c>
      <c r="J15" s="4" t="s">
        <v>14</v>
      </c>
      <c r="K15" s="9" t="s">
        <v>96</v>
      </c>
      <c r="L15" s="4" t="s">
        <v>124</v>
      </c>
      <c r="M15" s="9"/>
      <c r="N15" s="6">
        <f>MAX(VLOOKUP("S0-04",$A$8:$P$63,8,FALSE))</f>
        <v>46262</v>
      </c>
      <c r="O15" s="4">
        <f>IF(COUNT(G15:H15)&lt;2,"Faltan fechas",MIN(H15-G15,VLOOKUP(B15,'Entregas y equipo'!$A$8:$D$13,4,FALSE)-H15,G15-N15))</f>
        <v>3</v>
      </c>
      <c r="P15" s="4" t="s">
        <v>115</v>
      </c>
    </row>
    <row r="16" spans="1:16" ht="70.05" customHeight="1">
      <c r="A16" s="4" t="s">
        <v>19</v>
      </c>
      <c r="B16" s="4" t="s">
        <v>109</v>
      </c>
      <c r="C16" s="4" t="s">
        <v>122</v>
      </c>
      <c r="D16" s="4" t="s">
        <v>125</v>
      </c>
      <c r="E16" s="4" t="s">
        <v>93</v>
      </c>
      <c r="F16" s="4" t="s">
        <v>94</v>
      </c>
      <c r="G16" s="8">
        <v>46269</v>
      </c>
      <c r="H16" s="8">
        <v>46274</v>
      </c>
      <c r="I16" s="7">
        <f t="shared" si="0"/>
        <v>6</v>
      </c>
      <c r="J16" s="4" t="s">
        <v>126</v>
      </c>
      <c r="K16" s="9" t="s">
        <v>96</v>
      </c>
      <c r="L16" s="4" t="s">
        <v>127</v>
      </c>
      <c r="M16" s="9"/>
      <c r="N16" s="6">
        <f>MAX(VLOOKUP("S1-01",$A$8:$P$63,8,FALSE),VLOOKUP("S1-02",$A$8:$P$63,8,FALSE),VLOOKUP("S1-03",$A$8:$P$63,8,FALSE))</f>
        <v>46268</v>
      </c>
      <c r="O16" s="4">
        <f>IF(COUNT(G16:H16)&lt;2,"Faltan fechas",MIN(H16-G16,VLOOKUP(B16,'Entregas y equipo'!$A$8:$D$13,4,FALSE)-H16,G16-N16))</f>
        <v>1</v>
      </c>
      <c r="P16" s="4" t="s">
        <v>115</v>
      </c>
    </row>
    <row r="17" spans="1:16" ht="70.05" customHeight="1">
      <c r="A17" s="4" t="s">
        <v>20</v>
      </c>
      <c r="B17" s="4" t="s">
        <v>109</v>
      </c>
      <c r="C17" s="4" t="s">
        <v>105</v>
      </c>
      <c r="D17" s="4" t="s">
        <v>128</v>
      </c>
      <c r="E17" s="4" t="s">
        <v>93</v>
      </c>
      <c r="F17" s="4" t="s">
        <v>94</v>
      </c>
      <c r="G17" s="8">
        <v>46275</v>
      </c>
      <c r="H17" s="8">
        <v>46276</v>
      </c>
      <c r="I17" s="7">
        <f t="shared" si="0"/>
        <v>2</v>
      </c>
      <c r="J17" s="4" t="s">
        <v>129</v>
      </c>
      <c r="K17" s="9" t="s">
        <v>96</v>
      </c>
      <c r="L17" s="4" t="s">
        <v>130</v>
      </c>
      <c r="M17" s="9"/>
      <c r="N17" s="6">
        <f>MAX(VLOOKUP("S1-04",$A$8:$P$63,8,FALSE),VLOOKUP("S1-05",$A$8:$P$63,8,FALSE))</f>
        <v>46274</v>
      </c>
      <c r="O17" s="4">
        <f>IF(COUNT(G17:H17)&lt;2,"Faltan fechas",MIN(H17-G17,VLOOKUP(B17,'Entregas y equipo'!$A$8:$D$13,4,FALSE)-H17,G17-N17))</f>
        <v>0</v>
      </c>
      <c r="P17" s="4" t="s">
        <v>98</v>
      </c>
    </row>
    <row r="18" spans="1:16" ht="70.05" customHeight="1">
      <c r="A18" s="4" t="s">
        <v>21</v>
      </c>
      <c r="B18" s="4" t="s">
        <v>131</v>
      </c>
      <c r="C18" s="4" t="s">
        <v>132</v>
      </c>
      <c r="D18" s="4" t="s">
        <v>133</v>
      </c>
      <c r="E18" s="4" t="s">
        <v>93</v>
      </c>
      <c r="F18" s="4" t="s">
        <v>94</v>
      </c>
      <c r="G18" s="8">
        <v>46286</v>
      </c>
      <c r="H18" s="8">
        <v>46286</v>
      </c>
      <c r="I18" s="7">
        <f t="shared" si="0"/>
        <v>1</v>
      </c>
      <c r="J18" s="4" t="s">
        <v>95</v>
      </c>
      <c r="K18" s="9" t="s">
        <v>134</v>
      </c>
      <c r="L18" s="4" t="s">
        <v>135</v>
      </c>
      <c r="M18" s="9" t="s">
        <v>136</v>
      </c>
      <c r="N18" s="6"/>
      <c r="O18" s="4">
        <f>IF(COUNT(G18:H18)&lt;2,"Faltan fechas",MIN(H18-G18,VLOOKUP(B18,'Entregas y equipo'!$A$8:$D$13,4,FALSE)-H18,G18-N18))</f>
        <v>0</v>
      </c>
      <c r="P18" s="4" t="s">
        <v>137</v>
      </c>
    </row>
    <row r="19" spans="1:16" ht="70.05" customHeight="1">
      <c r="A19" s="4" t="s">
        <v>22</v>
      </c>
      <c r="B19" s="4" t="s">
        <v>131</v>
      </c>
      <c r="C19" s="4" t="s">
        <v>138</v>
      </c>
      <c r="D19" s="4" t="s">
        <v>139</v>
      </c>
      <c r="E19" s="4" t="s">
        <v>112</v>
      </c>
      <c r="F19" s="4" t="s">
        <v>120</v>
      </c>
      <c r="G19" s="8">
        <v>46288</v>
      </c>
      <c r="H19" s="8">
        <v>46288</v>
      </c>
      <c r="I19" s="7">
        <f t="shared" si="0"/>
        <v>1</v>
      </c>
      <c r="J19" s="4" t="s">
        <v>21</v>
      </c>
      <c r="K19" s="9" t="s">
        <v>354</v>
      </c>
      <c r="L19" s="4" t="s">
        <v>141</v>
      </c>
      <c r="M19" s="9"/>
      <c r="N19" s="6">
        <f>MAX(VLOOKUP("S2-01",$A$8:$P$63,8,FALSE))</f>
        <v>46286</v>
      </c>
      <c r="O19" s="4">
        <f>IF(COUNT(G19:H19)&lt;2,"Faltan fechas",MIN(H19-G19,VLOOKUP(B19,'Entregas y equipo'!$A$8:$D$13,4,FALSE)-H19,G19-N19))</f>
        <v>0</v>
      </c>
      <c r="P19" s="4" t="s">
        <v>142</v>
      </c>
    </row>
    <row r="20" spans="1:16" ht="70.05" customHeight="1">
      <c r="A20" s="4" t="s">
        <v>23</v>
      </c>
      <c r="B20" s="4" t="s">
        <v>131</v>
      </c>
      <c r="C20" s="4" t="s">
        <v>138</v>
      </c>
      <c r="D20" s="4" t="s">
        <v>143</v>
      </c>
      <c r="E20" s="4" t="s">
        <v>112</v>
      </c>
      <c r="F20" s="4" t="s">
        <v>113</v>
      </c>
      <c r="G20" s="8">
        <v>46289</v>
      </c>
      <c r="H20" s="8">
        <v>46289</v>
      </c>
      <c r="I20" s="7">
        <f t="shared" si="0"/>
        <v>1</v>
      </c>
      <c r="J20" s="4" t="s">
        <v>22</v>
      </c>
      <c r="K20" s="9" t="s">
        <v>354</v>
      </c>
      <c r="L20" s="4" t="s">
        <v>144</v>
      </c>
      <c r="M20" s="9"/>
      <c r="N20" s="6">
        <f>MAX(VLOOKUP("S2-02",$A$8:$P$63,8,FALSE))</f>
        <v>46288</v>
      </c>
      <c r="O20" s="4">
        <f>IF(COUNT(G20:H20)&lt;2,"Faltan fechas",MIN(H20-G20,VLOOKUP(B20,'Entregas y equipo'!$A$8:$D$13,4,FALSE)-H20,G20-N20))</f>
        <v>0</v>
      </c>
      <c r="P20" s="4" t="s">
        <v>142</v>
      </c>
    </row>
    <row r="21" spans="1:16" ht="70.05" customHeight="1">
      <c r="A21" s="4" t="s">
        <v>24</v>
      </c>
      <c r="B21" s="4" t="s">
        <v>131</v>
      </c>
      <c r="C21" s="4" t="s">
        <v>145</v>
      </c>
      <c r="D21" s="4" t="s">
        <v>146</v>
      </c>
      <c r="E21" s="4" t="s">
        <v>120</v>
      </c>
      <c r="F21" s="4" t="s">
        <v>112</v>
      </c>
      <c r="G21" s="8">
        <v>46288</v>
      </c>
      <c r="H21" s="8">
        <v>46288</v>
      </c>
      <c r="I21" s="7">
        <f t="shared" si="0"/>
        <v>1</v>
      </c>
      <c r="J21" s="4" t="s">
        <v>21</v>
      </c>
      <c r="K21" s="9" t="s">
        <v>191</v>
      </c>
      <c r="L21" s="4" t="s">
        <v>147</v>
      </c>
      <c r="M21" s="9"/>
      <c r="N21" s="6">
        <f>MAX(VLOOKUP("S2-01",$A$8:$P$63,8,FALSE))</f>
        <v>46286</v>
      </c>
      <c r="O21" s="4">
        <f>IF(COUNT(G21:H21)&lt;2,"Faltan fechas",MIN(H21-G21,VLOOKUP(B21,'Entregas y equipo'!$A$8:$D$13,4,FALSE)-H21,G21-N21))</f>
        <v>0</v>
      </c>
      <c r="P21" s="4" t="s">
        <v>148</v>
      </c>
    </row>
    <row r="22" spans="1:16" ht="70.05" customHeight="1">
      <c r="A22" s="4" t="s">
        <v>25</v>
      </c>
      <c r="B22" s="4" t="s">
        <v>131</v>
      </c>
      <c r="C22" s="4" t="s">
        <v>145</v>
      </c>
      <c r="D22" s="4" t="s">
        <v>149</v>
      </c>
      <c r="E22" s="4" t="s">
        <v>120</v>
      </c>
      <c r="F22" s="4" t="s">
        <v>112</v>
      </c>
      <c r="G22" s="8">
        <v>46289</v>
      </c>
      <c r="H22" s="8">
        <v>46289</v>
      </c>
      <c r="I22" s="7">
        <f t="shared" si="0"/>
        <v>1</v>
      </c>
      <c r="J22" s="4" t="s">
        <v>150</v>
      </c>
      <c r="K22" s="9" t="s">
        <v>353</v>
      </c>
      <c r="L22" s="4" t="s">
        <v>151</v>
      </c>
      <c r="M22" s="9"/>
      <c r="N22" s="6">
        <f>MAX(VLOOKUP("S2-02",$A$8:$P$63,8,FALSE),VLOOKUP("S2-04",$A$8:$P$63,8,FALSE))</f>
        <v>46288</v>
      </c>
      <c r="O22" s="4">
        <f>IF(COUNT(G22:H22)&lt;2,"Faltan fechas",MIN(H22-G22,VLOOKUP(B22,'Entregas y equipo'!$A$8:$D$13,4,FALSE)-H22,G22-N22))</f>
        <v>0</v>
      </c>
      <c r="P22" s="4" t="s">
        <v>142</v>
      </c>
    </row>
    <row r="23" spans="1:16" ht="70.05" customHeight="1">
      <c r="A23" s="4" t="s">
        <v>26</v>
      </c>
      <c r="B23" s="4" t="s">
        <v>131</v>
      </c>
      <c r="C23" s="4" t="s">
        <v>145</v>
      </c>
      <c r="D23" s="4" t="s">
        <v>152</v>
      </c>
      <c r="E23" s="4" t="s">
        <v>120</v>
      </c>
      <c r="F23" s="4" t="s">
        <v>117</v>
      </c>
      <c r="G23" s="8">
        <v>46289</v>
      </c>
      <c r="H23" s="8">
        <v>46289</v>
      </c>
      <c r="I23" s="7">
        <f t="shared" si="0"/>
        <v>1</v>
      </c>
      <c r="J23" s="4" t="s">
        <v>25</v>
      </c>
      <c r="K23" s="9" t="s">
        <v>140</v>
      </c>
      <c r="L23" s="4" t="s">
        <v>153</v>
      </c>
      <c r="M23" s="9"/>
      <c r="N23" s="6">
        <f>MAX(VLOOKUP("S2-05",$A$8:$P$63,8,FALSE))</f>
        <v>46289</v>
      </c>
      <c r="O23" s="4">
        <f>IF(COUNT(G23:H23)&lt;2,"Faltan fechas",MIN(H23-G23,VLOOKUP(B23,'Entregas y equipo'!$A$8:$D$13,4,FALSE)-H23,G23-N23))</f>
        <v>0</v>
      </c>
      <c r="P23" s="4" t="s">
        <v>148</v>
      </c>
    </row>
    <row r="24" spans="1:16" ht="70.05" customHeight="1">
      <c r="A24" s="4" t="s">
        <v>27</v>
      </c>
      <c r="B24" s="4" t="s">
        <v>131</v>
      </c>
      <c r="C24" s="4" t="s">
        <v>154</v>
      </c>
      <c r="D24" s="4" t="s">
        <v>155</v>
      </c>
      <c r="E24" s="4" t="s">
        <v>117</v>
      </c>
      <c r="F24" s="4" t="s">
        <v>112</v>
      </c>
      <c r="G24" s="8">
        <v>46288</v>
      </c>
      <c r="H24" s="8">
        <v>46288</v>
      </c>
      <c r="I24" s="7">
        <f t="shared" si="0"/>
        <v>1</v>
      </c>
      <c r="J24" s="4" t="s">
        <v>21</v>
      </c>
      <c r="K24" s="9" t="s">
        <v>140</v>
      </c>
      <c r="L24" s="4" t="s">
        <v>156</v>
      </c>
      <c r="M24" s="9"/>
      <c r="N24" s="6">
        <f>MAX(VLOOKUP("S2-01",$A$8:$P$63,8,FALSE))</f>
        <v>46286</v>
      </c>
      <c r="O24" s="4">
        <f>IF(COUNT(G24:H24)&lt;2,"Faltan fechas",MIN(H24-G24,VLOOKUP(B24,'Entregas y equipo'!$A$8:$D$13,4,FALSE)-H24,G24-N24))</f>
        <v>0</v>
      </c>
      <c r="P24" s="4" t="s">
        <v>157</v>
      </c>
    </row>
    <row r="25" spans="1:16" ht="70.05" customHeight="1">
      <c r="A25" s="4" t="s">
        <v>28</v>
      </c>
      <c r="B25" s="4" t="s">
        <v>131</v>
      </c>
      <c r="C25" s="4" t="s">
        <v>154</v>
      </c>
      <c r="D25" s="4" t="s">
        <v>158</v>
      </c>
      <c r="E25" s="4" t="s">
        <v>117</v>
      </c>
      <c r="F25" s="4" t="s">
        <v>120</v>
      </c>
      <c r="G25" s="8">
        <v>46289</v>
      </c>
      <c r="H25" s="8">
        <v>46289</v>
      </c>
      <c r="I25" s="7">
        <f t="shared" si="0"/>
        <v>1</v>
      </c>
      <c r="J25" s="4" t="s">
        <v>27</v>
      </c>
      <c r="K25" s="9" t="s">
        <v>140</v>
      </c>
      <c r="L25" s="4" t="s">
        <v>159</v>
      </c>
      <c r="M25" s="9"/>
      <c r="N25" s="6">
        <f>MAX(VLOOKUP("S2-07",$A$8:$P$63,8,FALSE))</f>
        <v>46288</v>
      </c>
      <c r="O25" s="4">
        <f>IF(COUNT(G25:H25)&lt;2,"Faltan fechas",MIN(H25-G25,VLOOKUP(B25,'Entregas y equipo'!$A$8:$D$13,4,FALSE)-H25,G25-N25))</f>
        <v>0</v>
      </c>
      <c r="P25" s="4" t="s">
        <v>148</v>
      </c>
    </row>
    <row r="26" spans="1:16" ht="70.05" customHeight="1">
      <c r="A26" s="4" t="s">
        <v>29</v>
      </c>
      <c r="B26" s="4" t="s">
        <v>131</v>
      </c>
      <c r="C26" s="4" t="s">
        <v>154</v>
      </c>
      <c r="D26" s="4" t="s">
        <v>160</v>
      </c>
      <c r="E26" s="4" t="s">
        <v>117</v>
      </c>
      <c r="F26" s="4" t="s">
        <v>161</v>
      </c>
      <c r="G26" s="8">
        <v>46289</v>
      </c>
      <c r="H26" s="8">
        <v>46289</v>
      </c>
      <c r="I26" s="7">
        <f t="shared" si="0"/>
        <v>1</v>
      </c>
      <c r="J26" s="4" t="s">
        <v>162</v>
      </c>
      <c r="K26" s="9" t="s">
        <v>140</v>
      </c>
      <c r="L26" s="4" t="s">
        <v>163</v>
      </c>
      <c r="M26" s="9"/>
      <c r="N26" s="6">
        <f>MAX(VLOOKUP("S2-03",$A$8:$P$63,8,FALSE),VLOOKUP("S2-06",$A$8:$P$63,8,FALSE),VLOOKUP("S2-08",$A$8:$P$63,8,FALSE))</f>
        <v>46289</v>
      </c>
      <c r="O26" s="4">
        <f>IF(COUNT(G26:H26)&lt;2,"Faltan fechas",MIN(H26-G26,VLOOKUP(B26,'Entregas y equipo'!$A$8:$D$13,4,FALSE)-H26,G26-N26))</f>
        <v>0</v>
      </c>
      <c r="P26" s="4" t="s">
        <v>148</v>
      </c>
    </row>
    <row r="27" spans="1:16" ht="70.05" customHeight="1">
      <c r="A27" s="4" t="s">
        <v>30</v>
      </c>
      <c r="B27" s="4" t="s">
        <v>131</v>
      </c>
      <c r="C27" s="4" t="s">
        <v>154</v>
      </c>
      <c r="D27" s="4" t="s">
        <v>164</v>
      </c>
      <c r="E27" s="4" t="s">
        <v>117</v>
      </c>
      <c r="F27" s="4" t="s">
        <v>113</v>
      </c>
      <c r="G27" s="8">
        <v>46290</v>
      </c>
      <c r="H27" s="8">
        <v>46290</v>
      </c>
      <c r="I27" s="7">
        <f t="shared" si="0"/>
        <v>1</v>
      </c>
      <c r="J27" s="4" t="s">
        <v>29</v>
      </c>
      <c r="K27" s="9" t="s">
        <v>140</v>
      </c>
      <c r="L27" s="4" t="s">
        <v>165</v>
      </c>
      <c r="M27" s="9"/>
      <c r="N27" s="6">
        <f>MAX(VLOOKUP("S2-09",$A$8:$P$63,8,FALSE))</f>
        <v>46289</v>
      </c>
      <c r="O27" s="4">
        <f>IF(COUNT(G27:H27)&lt;2,"Faltan fechas",MIN(H27-G27,VLOOKUP(B27,'Entregas y equipo'!$A$8:$D$13,4,FALSE)-H27,G27-N27))</f>
        <v>0</v>
      </c>
      <c r="P27" s="4" t="s">
        <v>142</v>
      </c>
    </row>
    <row r="28" spans="1:16" ht="70.05" customHeight="1">
      <c r="A28" s="4" t="s">
        <v>31</v>
      </c>
      <c r="B28" s="4" t="s">
        <v>131</v>
      </c>
      <c r="C28" s="4" t="s">
        <v>166</v>
      </c>
      <c r="D28" s="4" t="s">
        <v>167</v>
      </c>
      <c r="E28" s="4" t="s">
        <v>113</v>
      </c>
      <c r="F28" s="4" t="s">
        <v>112</v>
      </c>
      <c r="G28" s="8">
        <v>46288</v>
      </c>
      <c r="H28" s="8">
        <v>46288</v>
      </c>
      <c r="I28" s="7">
        <f t="shared" si="0"/>
        <v>1</v>
      </c>
      <c r="J28" s="4" t="s">
        <v>21</v>
      </c>
      <c r="K28" s="9" t="s">
        <v>140</v>
      </c>
      <c r="L28" s="4" t="s">
        <v>168</v>
      </c>
      <c r="M28" s="9"/>
      <c r="N28" s="6">
        <f>MAX(VLOOKUP("S2-01",$A$8:$P$63,8,FALSE))</f>
        <v>46286</v>
      </c>
      <c r="O28" s="4">
        <f>IF(COUNT(G28:H28)&lt;2,"Faltan fechas",MIN(H28-G28,VLOOKUP(B28,'Entregas y equipo'!$A$8:$D$13,4,FALSE)-H28,G28-N28))</f>
        <v>0</v>
      </c>
      <c r="P28" s="4" t="s">
        <v>169</v>
      </c>
    </row>
    <row r="29" spans="1:16" ht="70.05" customHeight="1">
      <c r="A29" s="4" t="s">
        <v>32</v>
      </c>
      <c r="B29" s="4" t="s">
        <v>131</v>
      </c>
      <c r="C29" s="4" t="s">
        <v>166</v>
      </c>
      <c r="D29" s="4" t="s">
        <v>170</v>
      </c>
      <c r="E29" s="4" t="s">
        <v>113</v>
      </c>
      <c r="F29" s="4" t="s">
        <v>94</v>
      </c>
      <c r="G29" s="8">
        <v>46289</v>
      </c>
      <c r="H29" s="8">
        <v>46290</v>
      </c>
      <c r="I29" s="7">
        <f t="shared" si="0"/>
        <v>2</v>
      </c>
      <c r="J29" s="4" t="s">
        <v>171</v>
      </c>
      <c r="K29" s="9" t="s">
        <v>140</v>
      </c>
      <c r="L29" s="4" t="s">
        <v>172</v>
      </c>
      <c r="M29" s="9"/>
      <c r="N29" s="6">
        <f>MAX(VLOOKUP("S2-03",$A$8:$P$63,8,FALSE),VLOOKUP("S2-05",$A$8:$P$63,8,FALSE),VLOOKUP("S2-11",$A$8:$P$63,8,FALSE))</f>
        <v>46289</v>
      </c>
      <c r="O29" s="4">
        <f>IF(COUNT(G29:H29)&lt;2,"Faltan fechas",MIN(H29-G29,VLOOKUP(B29,'Entregas y equipo'!$A$8:$D$13,4,FALSE)-H29,G29-N29))</f>
        <v>0</v>
      </c>
      <c r="P29" s="4" t="s">
        <v>173</v>
      </c>
    </row>
    <row r="30" spans="1:16" ht="70.05" customHeight="1">
      <c r="A30" s="4" t="s">
        <v>33</v>
      </c>
      <c r="B30" s="4" t="s">
        <v>131</v>
      </c>
      <c r="C30" s="4" t="s">
        <v>174</v>
      </c>
      <c r="D30" s="4" t="s">
        <v>175</v>
      </c>
      <c r="E30" s="4" t="s">
        <v>117</v>
      </c>
      <c r="F30" s="4" t="s">
        <v>113</v>
      </c>
      <c r="G30" s="8">
        <v>46290</v>
      </c>
      <c r="H30" s="8">
        <v>46290</v>
      </c>
      <c r="I30" s="7">
        <f t="shared" si="0"/>
        <v>1</v>
      </c>
      <c r="J30" s="4" t="s">
        <v>29</v>
      </c>
      <c r="K30" s="9" t="s">
        <v>140</v>
      </c>
      <c r="L30" s="4" t="s">
        <v>176</v>
      </c>
      <c r="M30" s="9"/>
      <c r="N30" s="6">
        <f>MAX(VLOOKUP("S2-09",$A$8:$P$63,8,FALSE))</f>
        <v>46289</v>
      </c>
      <c r="O30" s="4">
        <f>IF(COUNT(G30:H30)&lt;2,"Faltan fechas",MIN(H30-G30,VLOOKUP(B30,'Entregas y equipo'!$A$8:$D$13,4,FALSE)-H30,G30-N30))</f>
        <v>0</v>
      </c>
      <c r="P30" s="4" t="s">
        <v>148</v>
      </c>
    </row>
    <row r="31" spans="1:16" ht="70.05" customHeight="1">
      <c r="A31" s="4" t="s">
        <v>34</v>
      </c>
      <c r="B31" s="4" t="s">
        <v>131</v>
      </c>
      <c r="C31" s="4" t="s">
        <v>177</v>
      </c>
      <c r="D31" s="4" t="s">
        <v>178</v>
      </c>
      <c r="E31" s="4" t="s">
        <v>93</v>
      </c>
      <c r="F31" s="4" t="s">
        <v>179</v>
      </c>
      <c r="G31" s="8">
        <v>46288</v>
      </c>
      <c r="H31" s="8">
        <v>46289</v>
      </c>
      <c r="I31" s="7">
        <f t="shared" si="0"/>
        <v>2</v>
      </c>
      <c r="J31" s="4" t="s">
        <v>21</v>
      </c>
      <c r="K31" s="9" t="s">
        <v>140</v>
      </c>
      <c r="L31" s="4" t="s">
        <v>180</v>
      </c>
      <c r="M31" s="9"/>
      <c r="N31" s="6">
        <f>MAX(VLOOKUP("S2-01",$A$8:$P$63,8,FALSE))</f>
        <v>46286</v>
      </c>
      <c r="O31" s="4">
        <f>IF(COUNT(G31:H31)&lt;2,"Faltan fechas",MIN(H31-G31,VLOOKUP(B31,'Entregas y equipo'!$A$8:$D$13,4,FALSE)-H31,G31-N31))</f>
        <v>1</v>
      </c>
      <c r="P31" s="4" t="s">
        <v>181</v>
      </c>
    </row>
    <row r="32" spans="1:16" ht="70.05" customHeight="1">
      <c r="A32" s="4" t="s">
        <v>35</v>
      </c>
      <c r="B32" s="4" t="s">
        <v>131</v>
      </c>
      <c r="C32" s="4" t="s">
        <v>182</v>
      </c>
      <c r="D32" s="4" t="s">
        <v>183</v>
      </c>
      <c r="E32" s="4" t="s">
        <v>93</v>
      </c>
      <c r="F32" s="4" t="s">
        <v>94</v>
      </c>
      <c r="G32" s="8">
        <v>46290</v>
      </c>
      <c r="H32" s="8">
        <v>46290</v>
      </c>
      <c r="I32" s="7">
        <f t="shared" si="0"/>
        <v>1</v>
      </c>
      <c r="J32" s="4" t="s">
        <v>184</v>
      </c>
      <c r="K32" s="9" t="s">
        <v>140</v>
      </c>
      <c r="L32" s="4" t="s">
        <v>185</v>
      </c>
      <c r="M32" s="9"/>
      <c r="N32" s="6">
        <f>MAX(VLOOKUP("S2-10",$A$8:$P$63,8,FALSE),VLOOKUP("S2-12",$A$8:$P$63,8,FALSE),VLOOKUP("S2-13",$A$8:$P$63,8,FALSE),VLOOKUP("S2-14",$A$8:$P$63,8,FALSE))</f>
        <v>46290</v>
      </c>
      <c r="O32" s="4">
        <f>IF(COUNT(G32:H32)&lt;2,"Faltan fechas",MIN(H32-G32,VLOOKUP(B32,'Entregas y equipo'!$A$8:$D$13,4,FALSE)-H32,G32-N32))</f>
        <v>0</v>
      </c>
      <c r="P32" s="4" t="s">
        <v>173</v>
      </c>
    </row>
    <row r="33" spans="1:16" ht="70.05" customHeight="1">
      <c r="A33" s="4" t="s">
        <v>36</v>
      </c>
      <c r="B33" s="4" t="s">
        <v>131</v>
      </c>
      <c r="C33" s="4" t="s">
        <v>105</v>
      </c>
      <c r="D33" s="4" t="s">
        <v>186</v>
      </c>
      <c r="E33" s="4" t="s">
        <v>93</v>
      </c>
      <c r="F33" s="4" t="s">
        <v>94</v>
      </c>
      <c r="G33" s="8">
        <v>46290</v>
      </c>
      <c r="H33" s="8">
        <v>46290</v>
      </c>
      <c r="I33" s="7">
        <f t="shared" si="0"/>
        <v>1</v>
      </c>
      <c r="J33" s="4" t="s">
        <v>35</v>
      </c>
      <c r="K33" s="9" t="s">
        <v>140</v>
      </c>
      <c r="L33" s="4" t="s">
        <v>187</v>
      </c>
      <c r="M33" s="9"/>
      <c r="N33" s="6">
        <f>MAX(VLOOKUP("S2-15",$A$8:$P$63,8,FALSE))</f>
        <v>46290</v>
      </c>
      <c r="O33" s="4">
        <f>IF(COUNT(G33:H33)&lt;2,"Faltan fechas",MIN(H33-G33,VLOOKUP(B33,'Entregas y equipo'!$A$8:$D$13,4,FALSE)-H33,G33-N33))</f>
        <v>0</v>
      </c>
      <c r="P33" s="4" t="s">
        <v>188</v>
      </c>
    </row>
    <row r="34" spans="1:16" ht="70.05" customHeight="1">
      <c r="A34" s="4" t="s">
        <v>37</v>
      </c>
      <c r="B34" s="4" t="s">
        <v>189</v>
      </c>
      <c r="C34" s="4" t="s">
        <v>138</v>
      </c>
      <c r="D34" s="4" t="s">
        <v>190</v>
      </c>
      <c r="E34" s="4" t="s">
        <v>112</v>
      </c>
      <c r="F34" s="4" t="s">
        <v>113</v>
      </c>
      <c r="G34" s="8">
        <v>46293</v>
      </c>
      <c r="H34" s="8">
        <v>46295</v>
      </c>
      <c r="I34" s="7">
        <f t="shared" si="0"/>
        <v>3</v>
      </c>
      <c r="J34" s="4" t="s">
        <v>36</v>
      </c>
      <c r="K34" s="9" t="s">
        <v>191</v>
      </c>
      <c r="L34" s="4" t="s">
        <v>192</v>
      </c>
      <c r="M34" s="9"/>
      <c r="N34" s="6">
        <f>MAX(VLOOKUP("S2-16",$A$8:$P$63,8,FALSE))</f>
        <v>46290</v>
      </c>
      <c r="O34" s="4">
        <f>IF(COUNT(G34:H34)&lt;2,"Faltan fechas",MIN(H34-G34,VLOOKUP(B34,'Entregas y equipo'!$A$8:$D$13,4,FALSE)-H34,G34-N34))</f>
        <v>2</v>
      </c>
      <c r="P34" s="4" t="s">
        <v>193</v>
      </c>
    </row>
    <row r="35" spans="1:16" ht="70.05" customHeight="1">
      <c r="A35" s="4" t="s">
        <v>38</v>
      </c>
      <c r="B35" s="4" t="s">
        <v>189</v>
      </c>
      <c r="C35" s="4" t="s">
        <v>138</v>
      </c>
      <c r="D35" s="4" t="s">
        <v>194</v>
      </c>
      <c r="E35" s="4" t="s">
        <v>112</v>
      </c>
      <c r="F35" s="4" t="s">
        <v>113</v>
      </c>
      <c r="G35" s="8">
        <v>46296</v>
      </c>
      <c r="H35" s="8">
        <v>46300</v>
      </c>
      <c r="I35" s="7">
        <f t="shared" si="0"/>
        <v>5</v>
      </c>
      <c r="J35" s="4" t="s">
        <v>37</v>
      </c>
      <c r="K35" s="9" t="s">
        <v>191</v>
      </c>
      <c r="L35" s="4" t="s">
        <v>195</v>
      </c>
      <c r="M35" s="9"/>
      <c r="N35" s="6">
        <f>MAX(VLOOKUP("S3-01",$A$8:$P$63,8,FALSE))</f>
        <v>46295</v>
      </c>
      <c r="O35" s="4">
        <f>IF(COUNT(G35:H35)&lt;2,"Faltan fechas",MIN(H35-G35,VLOOKUP(B35,'Entregas y equipo'!$A$8:$D$13,4,FALSE)-H35,G35-N35))</f>
        <v>1</v>
      </c>
      <c r="P35" s="4" t="s">
        <v>142</v>
      </c>
    </row>
    <row r="36" spans="1:16" ht="70.05" customHeight="1">
      <c r="A36" s="4" t="s">
        <v>39</v>
      </c>
      <c r="B36" s="4" t="s">
        <v>189</v>
      </c>
      <c r="C36" s="4" t="s">
        <v>138</v>
      </c>
      <c r="D36" s="4" t="s">
        <v>196</v>
      </c>
      <c r="E36" s="4" t="s">
        <v>112</v>
      </c>
      <c r="F36" s="4" t="s">
        <v>113</v>
      </c>
      <c r="G36" s="8">
        <v>46301</v>
      </c>
      <c r="H36" s="8">
        <v>46302</v>
      </c>
      <c r="I36" s="7">
        <f t="shared" si="0"/>
        <v>2</v>
      </c>
      <c r="J36" s="4" t="s">
        <v>38</v>
      </c>
      <c r="K36" s="9" t="s">
        <v>191</v>
      </c>
      <c r="L36" s="4" t="s">
        <v>197</v>
      </c>
      <c r="M36" s="9"/>
      <c r="N36" s="6">
        <f>MAX(VLOOKUP("S3-02",$A$8:$P$63,8,FALSE))</f>
        <v>46300</v>
      </c>
      <c r="O36" s="4">
        <f>IF(COUNT(G36:H36)&lt;2,"Faltan fechas",MIN(H36-G36,VLOOKUP(B36,'Entregas y equipo'!$A$8:$D$13,4,FALSE)-H36,G36-N36))</f>
        <v>1</v>
      </c>
      <c r="P36" s="4" t="s">
        <v>157</v>
      </c>
    </row>
    <row r="37" spans="1:16" ht="70.05" customHeight="1">
      <c r="A37" s="4" t="s">
        <v>40</v>
      </c>
      <c r="B37" s="4" t="s">
        <v>189</v>
      </c>
      <c r="C37" s="4" t="s">
        <v>154</v>
      </c>
      <c r="D37" s="4" t="s">
        <v>198</v>
      </c>
      <c r="E37" s="4" t="s">
        <v>117</v>
      </c>
      <c r="F37" s="4" t="s">
        <v>120</v>
      </c>
      <c r="G37" s="8">
        <v>46293</v>
      </c>
      <c r="H37" s="8">
        <v>46296</v>
      </c>
      <c r="I37" s="7">
        <f t="shared" si="0"/>
        <v>4</v>
      </c>
      <c r="J37" s="4" t="s">
        <v>36</v>
      </c>
      <c r="K37" s="9" t="s">
        <v>191</v>
      </c>
      <c r="L37" s="4" t="s">
        <v>199</v>
      </c>
      <c r="M37" s="9"/>
      <c r="N37" s="6">
        <f>MAX(VLOOKUP("S2-16",$A$8:$P$63,8,FALSE))</f>
        <v>46290</v>
      </c>
      <c r="O37" s="4">
        <f>IF(COUNT(G37:H37)&lt;2,"Faltan fechas",MIN(H37-G37,VLOOKUP(B37,'Entregas y equipo'!$A$8:$D$13,4,FALSE)-H37,G37-N37))</f>
        <v>3</v>
      </c>
      <c r="P37" s="4" t="s">
        <v>173</v>
      </c>
    </row>
    <row r="38" spans="1:16" ht="70.05" customHeight="1">
      <c r="A38" s="4" t="s">
        <v>41</v>
      </c>
      <c r="B38" s="4" t="s">
        <v>189</v>
      </c>
      <c r="C38" s="4" t="s">
        <v>154</v>
      </c>
      <c r="D38" s="4" t="s">
        <v>200</v>
      </c>
      <c r="E38" s="4" t="s">
        <v>117</v>
      </c>
      <c r="F38" s="4" t="s">
        <v>120</v>
      </c>
      <c r="G38" s="8">
        <v>46297</v>
      </c>
      <c r="H38" s="8">
        <v>46300</v>
      </c>
      <c r="I38" s="7">
        <f t="shared" si="0"/>
        <v>4</v>
      </c>
      <c r="J38" s="4" t="s">
        <v>40</v>
      </c>
      <c r="K38" s="9" t="s">
        <v>191</v>
      </c>
      <c r="L38" s="4" t="s">
        <v>201</v>
      </c>
      <c r="M38" s="9"/>
      <c r="N38" s="6">
        <f>MAX(VLOOKUP("S3-04",$A$8:$P$63,8,FALSE))</f>
        <v>46296</v>
      </c>
      <c r="O38" s="4">
        <f>IF(COUNT(G38:H38)&lt;2,"Faltan fechas",MIN(H38-G38,VLOOKUP(B38,'Entregas y equipo'!$A$8:$D$13,4,FALSE)-H38,G38-N38))</f>
        <v>1</v>
      </c>
      <c r="P38" s="4" t="s">
        <v>148</v>
      </c>
    </row>
    <row r="39" spans="1:16" ht="70.05" customHeight="1">
      <c r="A39" s="4" t="s">
        <v>42</v>
      </c>
      <c r="B39" s="4" t="s">
        <v>189</v>
      </c>
      <c r="C39" s="4" t="s">
        <v>154</v>
      </c>
      <c r="D39" s="4" t="s">
        <v>202</v>
      </c>
      <c r="E39" s="4" t="s">
        <v>117</v>
      </c>
      <c r="F39" s="4" t="s">
        <v>112</v>
      </c>
      <c r="G39" s="8">
        <v>46301</v>
      </c>
      <c r="H39" s="8">
        <v>46301</v>
      </c>
      <c r="I39" s="7">
        <f t="shared" si="0"/>
        <v>1</v>
      </c>
      <c r="J39" s="4" t="s">
        <v>41</v>
      </c>
      <c r="K39" s="9" t="s">
        <v>191</v>
      </c>
      <c r="L39" s="4" t="s">
        <v>203</v>
      </c>
      <c r="M39" s="9"/>
      <c r="N39" s="6">
        <f>MAX(VLOOKUP("S3-05",$A$8:$P$63,8,FALSE))</f>
        <v>46300</v>
      </c>
      <c r="O39" s="4">
        <f>IF(COUNT(G39:H39)&lt;2,"Faltan fechas",MIN(H39-G39,VLOOKUP(B39,'Entregas y equipo'!$A$8:$D$13,4,FALSE)-H39,G39-N39))</f>
        <v>0</v>
      </c>
      <c r="P39" s="4" t="s">
        <v>148</v>
      </c>
    </row>
    <row r="40" spans="1:16" ht="70.05" customHeight="1">
      <c r="A40" s="4" t="s">
        <v>43</v>
      </c>
      <c r="B40" s="4" t="s">
        <v>189</v>
      </c>
      <c r="C40" s="4" t="s">
        <v>154</v>
      </c>
      <c r="D40" s="4" t="s">
        <v>204</v>
      </c>
      <c r="E40" s="4" t="s">
        <v>117</v>
      </c>
      <c r="F40" s="4" t="s">
        <v>113</v>
      </c>
      <c r="G40" s="8">
        <v>46302</v>
      </c>
      <c r="H40" s="8">
        <v>46302</v>
      </c>
      <c r="I40" s="7">
        <f t="shared" ref="I40:I71" si="1">IF(OR(G40="",H40=""),"",H40-G40+1)</f>
        <v>1</v>
      </c>
      <c r="J40" s="4" t="s">
        <v>42</v>
      </c>
      <c r="K40" s="9" t="s">
        <v>191</v>
      </c>
      <c r="L40" s="4" t="s">
        <v>205</v>
      </c>
      <c r="M40" s="9"/>
      <c r="N40" s="6">
        <f>MAX(VLOOKUP("S3-06",$A$8:$P$63,8,FALSE))</f>
        <v>46301</v>
      </c>
      <c r="O40" s="4">
        <f>IF(COUNT(G40:H40)&lt;2,"Faltan fechas",MIN(H40-G40,VLOOKUP(B40,'Entregas y equipo'!$A$8:$D$13,4,FALSE)-H40,G40-N40))</f>
        <v>0</v>
      </c>
      <c r="P40" s="4" t="s">
        <v>193</v>
      </c>
    </row>
    <row r="41" spans="1:16" ht="70.05" customHeight="1">
      <c r="A41" s="4" t="s">
        <v>44</v>
      </c>
      <c r="B41" s="4" t="s">
        <v>189</v>
      </c>
      <c r="C41" s="4" t="s">
        <v>145</v>
      </c>
      <c r="D41" s="4" t="s">
        <v>206</v>
      </c>
      <c r="E41" s="4" t="s">
        <v>120</v>
      </c>
      <c r="F41" s="4" t="s">
        <v>117</v>
      </c>
      <c r="G41" s="8">
        <v>46293</v>
      </c>
      <c r="H41" s="8">
        <v>46300</v>
      </c>
      <c r="I41" s="7">
        <f t="shared" si="1"/>
        <v>8</v>
      </c>
      <c r="J41" s="4" t="s">
        <v>36</v>
      </c>
      <c r="K41" s="9" t="s">
        <v>191</v>
      </c>
      <c r="L41" s="4" t="s">
        <v>207</v>
      </c>
      <c r="M41" s="9"/>
      <c r="N41" s="6">
        <f>MAX(VLOOKUP("S2-16",$A$8:$P$63,8,FALSE))</f>
        <v>46290</v>
      </c>
      <c r="O41" s="4">
        <f>IF(COUNT(G41:H41)&lt;2,"Faltan fechas",MIN(H41-G41,VLOOKUP(B41,'Entregas y equipo'!$A$8:$D$13,4,FALSE)-H41,G41-N41))</f>
        <v>3</v>
      </c>
      <c r="P41" s="4" t="s">
        <v>208</v>
      </c>
    </row>
    <row r="42" spans="1:16" ht="70.05" customHeight="1">
      <c r="A42" s="4" t="s">
        <v>45</v>
      </c>
      <c r="B42" s="4" t="s">
        <v>189</v>
      </c>
      <c r="C42" s="4" t="s">
        <v>166</v>
      </c>
      <c r="D42" s="4" t="s">
        <v>209</v>
      </c>
      <c r="E42" s="4" t="s">
        <v>113</v>
      </c>
      <c r="F42" s="4" t="s">
        <v>210</v>
      </c>
      <c r="G42" s="8">
        <v>46295</v>
      </c>
      <c r="H42" s="8">
        <v>46302</v>
      </c>
      <c r="I42" s="7">
        <f t="shared" si="1"/>
        <v>8</v>
      </c>
      <c r="J42" s="4" t="s">
        <v>37</v>
      </c>
      <c r="K42" s="9" t="s">
        <v>191</v>
      </c>
      <c r="L42" s="4" t="s">
        <v>211</v>
      </c>
      <c r="M42" s="9"/>
      <c r="N42" s="6">
        <f>MAX(VLOOKUP("S3-01",$A$8:$P$63,8,FALSE))</f>
        <v>46295</v>
      </c>
      <c r="O42" s="4">
        <f>IF(COUNT(G42:H42)&lt;2,"Faltan fechas",MIN(H42-G42,VLOOKUP(B42,'Entregas y equipo'!$A$8:$D$13,4,FALSE)-H42,G42-N42))</f>
        <v>0</v>
      </c>
      <c r="P42" s="4" t="s">
        <v>212</v>
      </c>
    </row>
    <row r="43" spans="1:16" ht="70.05" customHeight="1">
      <c r="A43" s="4" t="s">
        <v>46</v>
      </c>
      <c r="B43" s="4" t="s">
        <v>189</v>
      </c>
      <c r="C43" s="4" t="s">
        <v>166</v>
      </c>
      <c r="D43" s="4" t="s">
        <v>213</v>
      </c>
      <c r="E43" s="4" t="s">
        <v>113</v>
      </c>
      <c r="F43" s="4" t="s">
        <v>117</v>
      </c>
      <c r="G43" s="8">
        <v>46302</v>
      </c>
      <c r="H43" s="8">
        <v>46303</v>
      </c>
      <c r="I43" s="7">
        <f t="shared" si="1"/>
        <v>2</v>
      </c>
      <c r="J43" s="4" t="s">
        <v>214</v>
      </c>
      <c r="K43" s="9" t="s">
        <v>191</v>
      </c>
      <c r="L43" s="4" t="s">
        <v>215</v>
      </c>
      <c r="M43" s="9"/>
      <c r="N43" s="6">
        <f>MAX(VLOOKUP("S3-07",$A$8:$P$63,8,FALSE),VLOOKUP("S3-09",$A$8:$P$63,8,FALSE))</f>
        <v>46302</v>
      </c>
      <c r="O43" s="4">
        <f>IF(COUNT(G43:H43)&lt;2,"Faltan fechas",MIN(H43-G43,VLOOKUP(B43,'Entregas y equipo'!$A$8:$D$13,4,FALSE)-H43,G43-N43))</f>
        <v>0</v>
      </c>
      <c r="P43" s="4" t="s">
        <v>216</v>
      </c>
    </row>
    <row r="44" spans="1:16" ht="70.05" customHeight="1">
      <c r="A44" s="4" t="s">
        <v>47</v>
      </c>
      <c r="B44" s="4" t="s">
        <v>189</v>
      </c>
      <c r="C44" s="4" t="s">
        <v>182</v>
      </c>
      <c r="D44" s="4" t="s">
        <v>217</v>
      </c>
      <c r="E44" s="4" t="s">
        <v>93</v>
      </c>
      <c r="F44" s="4" t="s">
        <v>94</v>
      </c>
      <c r="G44" s="8">
        <v>46303</v>
      </c>
      <c r="H44" s="8">
        <v>46303</v>
      </c>
      <c r="I44" s="7">
        <f t="shared" si="1"/>
        <v>1</v>
      </c>
      <c r="J44" s="4" t="s">
        <v>218</v>
      </c>
      <c r="K44" s="9" t="s">
        <v>191</v>
      </c>
      <c r="L44" s="4" t="s">
        <v>219</v>
      </c>
      <c r="M44" s="9"/>
      <c r="N44" s="6">
        <f>MAX(VLOOKUP("S3-03",$A$8:$P$63,8,FALSE),VLOOKUP("S3-08",$A$8:$P$63,8,FALSE),VLOOKUP("S3-10",$A$8:$P$63,8,FALSE))</f>
        <v>46303</v>
      </c>
      <c r="O44" s="4">
        <f>IF(COUNT(G44:H44)&lt;2,"Faltan fechas",MIN(H44-G44,VLOOKUP(B44,'Entregas y equipo'!$A$8:$D$13,4,FALSE)-H44,G44-N44))</f>
        <v>0</v>
      </c>
      <c r="P44" s="4" t="s">
        <v>220</v>
      </c>
    </row>
    <row r="45" spans="1:16" ht="70.05" customHeight="1">
      <c r="A45" s="4" t="s">
        <v>48</v>
      </c>
      <c r="B45" s="4" t="s">
        <v>189</v>
      </c>
      <c r="C45" s="4" t="s">
        <v>105</v>
      </c>
      <c r="D45" s="4" t="s">
        <v>221</v>
      </c>
      <c r="E45" s="4" t="s">
        <v>93</v>
      </c>
      <c r="F45" s="4" t="s">
        <v>94</v>
      </c>
      <c r="G45" s="8">
        <v>46304</v>
      </c>
      <c r="H45" s="8">
        <v>46304</v>
      </c>
      <c r="I45" s="7">
        <f t="shared" si="1"/>
        <v>1</v>
      </c>
      <c r="J45" s="4" t="s">
        <v>47</v>
      </c>
      <c r="K45" s="9" t="s">
        <v>191</v>
      </c>
      <c r="L45" s="4" t="s">
        <v>222</v>
      </c>
      <c r="M45" s="9"/>
      <c r="N45" s="6">
        <f>MAX(VLOOKUP("S3-11",$A$8:$P$63,8,FALSE))</f>
        <v>46303</v>
      </c>
      <c r="O45" s="4">
        <f>IF(COUNT(G45:H45)&lt;2,"Faltan fechas",MIN(H45-G45,VLOOKUP(B45,'Entregas y equipo'!$A$8:$D$13,4,FALSE)-H45,G45-N45))</f>
        <v>0</v>
      </c>
      <c r="P45" s="4" t="s">
        <v>115</v>
      </c>
    </row>
    <row r="46" spans="1:16" ht="70.05" customHeight="1">
      <c r="A46" s="4" t="s">
        <v>49</v>
      </c>
      <c r="B46" s="4" t="s">
        <v>223</v>
      </c>
      <c r="C46" s="4" t="s">
        <v>145</v>
      </c>
      <c r="D46" s="4" t="s">
        <v>224</v>
      </c>
      <c r="E46" s="4" t="s">
        <v>120</v>
      </c>
      <c r="F46" s="4" t="s">
        <v>93</v>
      </c>
      <c r="G46" s="8">
        <v>46307</v>
      </c>
      <c r="H46" s="8">
        <v>46307</v>
      </c>
      <c r="I46" s="7">
        <f t="shared" si="1"/>
        <v>1</v>
      </c>
      <c r="J46" s="4" t="s">
        <v>48</v>
      </c>
      <c r="K46" s="9" t="s">
        <v>191</v>
      </c>
      <c r="L46" s="4" t="s">
        <v>225</v>
      </c>
      <c r="M46" s="9"/>
      <c r="N46" s="6">
        <f>MAX(VLOOKUP("S3-12",$A$8:$P$63,8,FALSE))</f>
        <v>46304</v>
      </c>
      <c r="O46" s="4">
        <f>IF(COUNT(G46:H46)&lt;2,"Faltan fechas",MIN(H46-G46,VLOOKUP(B46,'Entregas y equipo'!$A$8:$D$13,4,FALSE)-H46,G46-N46))</f>
        <v>0</v>
      </c>
      <c r="P46" s="4" t="s">
        <v>181</v>
      </c>
    </row>
    <row r="47" spans="1:16" ht="70.05" customHeight="1">
      <c r="A47" s="4" t="s">
        <v>50</v>
      </c>
      <c r="B47" s="4" t="s">
        <v>223</v>
      </c>
      <c r="C47" s="4" t="s">
        <v>145</v>
      </c>
      <c r="D47" s="4" t="s">
        <v>226</v>
      </c>
      <c r="E47" s="4" t="s">
        <v>120</v>
      </c>
      <c r="F47" s="4" t="s">
        <v>113</v>
      </c>
      <c r="G47" s="8">
        <v>46308</v>
      </c>
      <c r="H47" s="8">
        <v>46310</v>
      </c>
      <c r="I47" s="7">
        <f t="shared" si="1"/>
        <v>3</v>
      </c>
      <c r="J47" s="4" t="s">
        <v>49</v>
      </c>
      <c r="K47" s="9" t="s">
        <v>191</v>
      </c>
      <c r="L47" s="4" t="s">
        <v>227</v>
      </c>
      <c r="M47" s="9"/>
      <c r="N47" s="6">
        <f>MAX(VLOOKUP("S4-01",$A$8:$P$63,8,FALSE))</f>
        <v>46307</v>
      </c>
      <c r="O47" s="4">
        <f>IF(COUNT(G47:H47)&lt;2,"Faltan fechas",MIN(H47-G47,VLOOKUP(B47,'Entregas y equipo'!$A$8:$D$13,4,FALSE)-H47,G47-N47))</f>
        <v>1</v>
      </c>
      <c r="P47" s="4" t="s">
        <v>193</v>
      </c>
    </row>
    <row r="48" spans="1:16" ht="70.05" customHeight="1">
      <c r="A48" s="4" t="s">
        <v>51</v>
      </c>
      <c r="B48" s="4" t="s">
        <v>223</v>
      </c>
      <c r="C48" s="4" t="s">
        <v>145</v>
      </c>
      <c r="D48" s="4" t="s">
        <v>228</v>
      </c>
      <c r="E48" s="4" t="s">
        <v>120</v>
      </c>
      <c r="F48" s="4" t="s">
        <v>117</v>
      </c>
      <c r="G48" s="8">
        <v>46311</v>
      </c>
      <c r="H48" s="8">
        <v>46315</v>
      </c>
      <c r="I48" s="7">
        <f t="shared" si="1"/>
        <v>5</v>
      </c>
      <c r="J48" s="4" t="s">
        <v>50</v>
      </c>
      <c r="K48" s="9" t="s">
        <v>191</v>
      </c>
      <c r="L48" s="4" t="s">
        <v>229</v>
      </c>
      <c r="M48" s="9"/>
      <c r="N48" s="6">
        <f>MAX(VLOOKUP("S4-02",$A$8:$P$63,8,FALSE))</f>
        <v>46310</v>
      </c>
      <c r="O48" s="4">
        <f>IF(COUNT(G48:H48)&lt;2,"Faltan fechas",MIN(H48-G48,VLOOKUP(B48,'Entregas y equipo'!$A$8:$D$13,4,FALSE)-H48,G48-N48))</f>
        <v>1</v>
      </c>
      <c r="P48" s="4" t="s">
        <v>193</v>
      </c>
    </row>
    <row r="49" spans="1:16" ht="70.05" customHeight="1">
      <c r="A49" s="4" t="s">
        <v>52</v>
      </c>
      <c r="B49" s="4" t="s">
        <v>223</v>
      </c>
      <c r="C49" s="4" t="s">
        <v>174</v>
      </c>
      <c r="D49" s="4" t="s">
        <v>230</v>
      </c>
      <c r="E49" s="4" t="s">
        <v>117</v>
      </c>
      <c r="F49" s="4" t="s">
        <v>112</v>
      </c>
      <c r="G49" s="8">
        <v>46307</v>
      </c>
      <c r="H49" s="8">
        <v>46310</v>
      </c>
      <c r="I49" s="7">
        <f t="shared" si="1"/>
        <v>4</v>
      </c>
      <c r="J49" s="4" t="s">
        <v>48</v>
      </c>
      <c r="K49" s="9" t="s">
        <v>191</v>
      </c>
      <c r="L49" s="4" t="s">
        <v>231</v>
      </c>
      <c r="M49" s="9"/>
      <c r="N49" s="6">
        <f>MAX(VLOOKUP("S3-12",$A$8:$P$63,8,FALSE))</f>
        <v>46304</v>
      </c>
      <c r="O49" s="4">
        <f>IF(COUNT(G49:H49)&lt;2,"Faltan fechas",MIN(H49-G49,VLOOKUP(B49,'Entregas y equipo'!$A$8:$D$13,4,FALSE)-H49,G49-N49))</f>
        <v>3</v>
      </c>
      <c r="P49" s="4" t="s">
        <v>148</v>
      </c>
    </row>
    <row r="50" spans="1:16" ht="70.05" customHeight="1">
      <c r="A50" s="4" t="s">
        <v>53</v>
      </c>
      <c r="B50" s="4" t="s">
        <v>223</v>
      </c>
      <c r="C50" s="4" t="s">
        <v>232</v>
      </c>
      <c r="D50" s="4" t="s">
        <v>233</v>
      </c>
      <c r="E50" s="4" t="s">
        <v>112</v>
      </c>
      <c r="F50" s="4" t="s">
        <v>117</v>
      </c>
      <c r="G50" s="8">
        <v>46307</v>
      </c>
      <c r="H50" s="8">
        <v>46311</v>
      </c>
      <c r="I50" s="7">
        <f t="shared" si="1"/>
        <v>5</v>
      </c>
      <c r="J50" s="4" t="s">
        <v>48</v>
      </c>
      <c r="K50" s="9" t="s">
        <v>191</v>
      </c>
      <c r="L50" s="4" t="s">
        <v>234</v>
      </c>
      <c r="M50" s="9"/>
      <c r="N50" s="6">
        <f>MAX(VLOOKUP("S3-12",$A$8:$P$63,8,FALSE))</f>
        <v>46304</v>
      </c>
      <c r="O50" s="4">
        <f>IF(COUNT(G50:H50)&lt;2,"Faltan fechas",MIN(H50-G50,VLOOKUP(B50,'Entregas y equipo'!$A$8:$D$13,4,FALSE)-H50,G50-N50))</f>
        <v>3</v>
      </c>
      <c r="P50" s="4" t="s">
        <v>235</v>
      </c>
    </row>
    <row r="51" spans="1:16" ht="70.05" customHeight="1">
      <c r="A51" s="4" t="s">
        <v>54</v>
      </c>
      <c r="B51" s="4" t="s">
        <v>223</v>
      </c>
      <c r="C51" s="4" t="s">
        <v>166</v>
      </c>
      <c r="D51" s="4" t="s">
        <v>236</v>
      </c>
      <c r="E51" s="4" t="s">
        <v>113</v>
      </c>
      <c r="F51" s="4" t="s">
        <v>120</v>
      </c>
      <c r="G51" s="8">
        <v>46310</v>
      </c>
      <c r="H51" s="8">
        <v>46315</v>
      </c>
      <c r="I51" s="7">
        <f t="shared" si="1"/>
        <v>6</v>
      </c>
      <c r="J51" s="4" t="s">
        <v>50</v>
      </c>
      <c r="K51" s="9" t="s">
        <v>191</v>
      </c>
      <c r="L51" s="4" t="s">
        <v>237</v>
      </c>
      <c r="M51" s="9"/>
      <c r="N51" s="6">
        <f>MAX(VLOOKUP("S4-02",$A$8:$P$63,8,FALSE))</f>
        <v>46310</v>
      </c>
      <c r="O51" s="4">
        <f>IF(COUNT(G51:H51)&lt;2,"Faltan fechas",MIN(H51-G51,VLOOKUP(B51,'Entregas y equipo'!$A$8:$D$13,4,FALSE)-H51,G51-N51))</f>
        <v>0</v>
      </c>
      <c r="P51" s="4" t="s">
        <v>193</v>
      </c>
    </row>
    <row r="52" spans="1:16" ht="70.05" customHeight="1">
      <c r="A52" s="4" t="s">
        <v>55</v>
      </c>
      <c r="B52" s="4" t="s">
        <v>223</v>
      </c>
      <c r="C52" s="4" t="s">
        <v>166</v>
      </c>
      <c r="D52" s="4" t="s">
        <v>238</v>
      </c>
      <c r="E52" s="4" t="s">
        <v>113</v>
      </c>
      <c r="F52" s="4" t="s">
        <v>117</v>
      </c>
      <c r="G52" s="8">
        <v>46316</v>
      </c>
      <c r="H52" s="8">
        <v>46316</v>
      </c>
      <c r="I52" s="7">
        <f t="shared" si="1"/>
        <v>1</v>
      </c>
      <c r="J52" s="4" t="s">
        <v>239</v>
      </c>
      <c r="K52" s="9" t="s">
        <v>191</v>
      </c>
      <c r="L52" s="4" t="s">
        <v>240</v>
      </c>
      <c r="M52" s="9"/>
      <c r="N52" s="6">
        <f>MAX(VLOOKUP("S4-04",$A$8:$P$63,8,FALSE),VLOOKUP("S4-05",$A$8:$P$63,8,FALSE),VLOOKUP("S4-06",$A$8:$P$63,8,FALSE))</f>
        <v>46315</v>
      </c>
      <c r="O52" s="4">
        <f>IF(COUNT(G52:H52)&lt;2,"Faltan fechas",MIN(H52-G52,VLOOKUP(B52,'Entregas y equipo'!$A$8:$D$13,4,FALSE)-H52,G52-N52))</f>
        <v>0</v>
      </c>
      <c r="P52" s="4" t="s">
        <v>148</v>
      </c>
    </row>
    <row r="53" spans="1:16" ht="70.05" customHeight="1">
      <c r="A53" s="4" t="s">
        <v>56</v>
      </c>
      <c r="B53" s="4" t="s">
        <v>223</v>
      </c>
      <c r="C53" s="4" t="s">
        <v>154</v>
      </c>
      <c r="D53" s="4" t="s">
        <v>241</v>
      </c>
      <c r="E53" s="4" t="s">
        <v>117</v>
      </c>
      <c r="F53" s="4" t="s">
        <v>120</v>
      </c>
      <c r="G53" s="8">
        <v>46315</v>
      </c>
      <c r="H53" s="8">
        <v>46316</v>
      </c>
      <c r="I53" s="7">
        <f t="shared" si="1"/>
        <v>2</v>
      </c>
      <c r="J53" s="4" t="s">
        <v>51</v>
      </c>
      <c r="K53" s="9" t="s">
        <v>191</v>
      </c>
      <c r="L53" s="4" t="s">
        <v>242</v>
      </c>
      <c r="M53" s="9"/>
      <c r="N53" s="6">
        <f>MAX(VLOOKUP("S4-03",$A$8:$P$63,8,FALSE))</f>
        <v>46315</v>
      </c>
      <c r="O53" s="4">
        <f>IF(COUNT(G53:H53)&lt;2,"Faltan fechas",MIN(H53-G53,VLOOKUP(B53,'Entregas y equipo'!$A$8:$D$13,4,FALSE)-H53,G53-N53))</f>
        <v>0</v>
      </c>
      <c r="P53" s="4" t="s">
        <v>243</v>
      </c>
    </row>
    <row r="54" spans="1:16" ht="70.05" customHeight="1">
      <c r="A54" s="4" t="s">
        <v>57</v>
      </c>
      <c r="B54" s="4" t="s">
        <v>223</v>
      </c>
      <c r="C54" s="4" t="s">
        <v>182</v>
      </c>
      <c r="D54" s="4" t="s">
        <v>244</v>
      </c>
      <c r="E54" s="4" t="s">
        <v>93</v>
      </c>
      <c r="F54" s="4" t="s">
        <v>94</v>
      </c>
      <c r="G54" s="8">
        <v>46317</v>
      </c>
      <c r="H54" s="8">
        <v>46317</v>
      </c>
      <c r="I54" s="7">
        <f t="shared" si="1"/>
        <v>1</v>
      </c>
      <c r="J54" s="4" t="s">
        <v>245</v>
      </c>
      <c r="K54" s="9" t="s">
        <v>191</v>
      </c>
      <c r="L54" s="4" t="s">
        <v>246</v>
      </c>
      <c r="M54" s="9"/>
      <c r="N54" s="6">
        <f>MAX(VLOOKUP("S4-05",$A$8:$P$63,8,FALSE),VLOOKUP("S4-07",$A$8:$P$63,8,FALSE),VLOOKUP("S4-08",$A$8:$P$63,8,FALSE))</f>
        <v>46316</v>
      </c>
      <c r="O54" s="4">
        <f>IF(COUNT(G54:H54)&lt;2,"Faltan fechas",MIN(H54-G54,VLOOKUP(B54,'Entregas y equipo'!$A$8:$D$13,4,FALSE)-H54,G54-N54))</f>
        <v>0</v>
      </c>
      <c r="P54" s="4" t="s">
        <v>247</v>
      </c>
    </row>
    <row r="55" spans="1:16" ht="70.05" customHeight="1">
      <c r="A55" s="4" t="s">
        <v>58</v>
      </c>
      <c r="B55" s="4" t="s">
        <v>223</v>
      </c>
      <c r="C55" s="4" t="s">
        <v>105</v>
      </c>
      <c r="D55" s="4" t="s">
        <v>248</v>
      </c>
      <c r="E55" s="4" t="s">
        <v>93</v>
      </c>
      <c r="F55" s="4" t="s">
        <v>94</v>
      </c>
      <c r="G55" s="8">
        <v>46318</v>
      </c>
      <c r="H55" s="8">
        <v>46318</v>
      </c>
      <c r="I55" s="7">
        <f t="shared" si="1"/>
        <v>1</v>
      </c>
      <c r="J55" s="4" t="s">
        <v>57</v>
      </c>
      <c r="K55" s="9" t="s">
        <v>191</v>
      </c>
      <c r="L55" s="4" t="s">
        <v>249</v>
      </c>
      <c r="M55" s="9"/>
      <c r="N55" s="6">
        <f>MAX(VLOOKUP("S4-09",$A$8:$P$63,8,FALSE))</f>
        <v>46317</v>
      </c>
      <c r="O55" s="4">
        <f>IF(COUNT(G55:H55)&lt;2,"Faltan fechas",MIN(H55-G55,VLOOKUP(B55,'Entregas y equipo'!$A$8:$D$13,4,FALSE)-H55,G55-N55))</f>
        <v>0</v>
      </c>
      <c r="P55" s="4" t="s">
        <v>115</v>
      </c>
    </row>
    <row r="56" spans="1:16" ht="70.05" customHeight="1">
      <c r="A56" s="4" t="s">
        <v>59</v>
      </c>
      <c r="B56" s="4" t="s">
        <v>250</v>
      </c>
      <c r="C56" s="4" t="s">
        <v>177</v>
      </c>
      <c r="D56" s="4" t="s">
        <v>251</v>
      </c>
      <c r="E56" s="4" t="s">
        <v>112</v>
      </c>
      <c r="F56" s="4" t="s">
        <v>113</v>
      </c>
      <c r="G56" s="8">
        <v>46321</v>
      </c>
      <c r="H56" s="8">
        <v>46324</v>
      </c>
      <c r="I56" s="7">
        <f t="shared" si="1"/>
        <v>4</v>
      </c>
      <c r="J56" s="4" t="s">
        <v>58</v>
      </c>
      <c r="K56" s="9" t="s">
        <v>191</v>
      </c>
      <c r="L56" s="4" t="s">
        <v>252</v>
      </c>
      <c r="M56" s="9"/>
      <c r="N56" s="6">
        <f>MAX(VLOOKUP("S4-10",$A$8:$P$63,8,FALSE))</f>
        <v>46318</v>
      </c>
      <c r="O56" s="4">
        <f>IF(COUNT(G56:H56)&lt;2,"Faltan fechas",MIN(H56-G56,VLOOKUP(B56,'Entregas y equipo'!$A$8:$D$13,4,FALSE)-H56,G56-N56))</f>
        <v>3</v>
      </c>
      <c r="P56" s="4" t="s">
        <v>115</v>
      </c>
    </row>
    <row r="57" spans="1:16" ht="70.05" customHeight="1">
      <c r="A57" s="4" t="s">
        <v>60</v>
      </c>
      <c r="B57" s="4" t="s">
        <v>250</v>
      </c>
      <c r="C57" s="4" t="s">
        <v>177</v>
      </c>
      <c r="D57" s="4" t="s">
        <v>253</v>
      </c>
      <c r="E57" s="4" t="s">
        <v>120</v>
      </c>
      <c r="F57" s="4" t="s">
        <v>113</v>
      </c>
      <c r="G57" s="8">
        <v>46321</v>
      </c>
      <c r="H57" s="8">
        <v>46324</v>
      </c>
      <c r="I57" s="7">
        <f t="shared" si="1"/>
        <v>4</v>
      </c>
      <c r="J57" s="4" t="s">
        <v>58</v>
      </c>
      <c r="K57" s="9" t="s">
        <v>191</v>
      </c>
      <c r="L57" s="4" t="s">
        <v>254</v>
      </c>
      <c r="M57" s="9"/>
      <c r="N57" s="6">
        <f>MAX(VLOOKUP("S4-10",$A$8:$P$63,8,FALSE))</f>
        <v>46318</v>
      </c>
      <c r="O57" s="4">
        <f>IF(COUNT(G57:H57)&lt;2,"Faltan fechas",MIN(H57-G57,VLOOKUP(B57,'Entregas y equipo'!$A$8:$D$13,4,FALSE)-H57,G57-N57))</f>
        <v>3</v>
      </c>
      <c r="P57" s="4" t="s">
        <v>115</v>
      </c>
    </row>
    <row r="58" spans="1:16" ht="70.05" customHeight="1">
      <c r="A58" s="4" t="s">
        <v>61</v>
      </c>
      <c r="B58" s="4" t="s">
        <v>250</v>
      </c>
      <c r="C58" s="4" t="s">
        <v>255</v>
      </c>
      <c r="D58" s="4" t="s">
        <v>256</v>
      </c>
      <c r="E58" s="4" t="s">
        <v>117</v>
      </c>
      <c r="F58" s="4" t="s">
        <v>112</v>
      </c>
      <c r="G58" s="8">
        <v>46321</v>
      </c>
      <c r="H58" s="8">
        <v>46324</v>
      </c>
      <c r="I58" s="7">
        <f t="shared" si="1"/>
        <v>4</v>
      </c>
      <c r="J58" s="4" t="s">
        <v>58</v>
      </c>
      <c r="K58" s="9" t="s">
        <v>191</v>
      </c>
      <c r="L58" s="4" t="s">
        <v>257</v>
      </c>
      <c r="M58" s="9"/>
      <c r="N58" s="6">
        <f>MAX(VLOOKUP("S4-10",$A$8:$P$63,8,FALSE))</f>
        <v>46318</v>
      </c>
      <c r="O58" s="4">
        <f>IF(COUNT(G58:H58)&lt;2,"Faltan fechas",MIN(H58-G58,VLOOKUP(B58,'Entregas y equipo'!$A$8:$D$13,4,FALSE)-H58,G58-N58))</f>
        <v>3</v>
      </c>
      <c r="P58" s="4" t="s">
        <v>193</v>
      </c>
    </row>
    <row r="59" spans="1:16" ht="70.05" customHeight="1">
      <c r="A59" s="4" t="s">
        <v>62</v>
      </c>
      <c r="B59" s="4" t="s">
        <v>250</v>
      </c>
      <c r="C59" s="4" t="s">
        <v>166</v>
      </c>
      <c r="D59" s="4" t="s">
        <v>258</v>
      </c>
      <c r="E59" s="4" t="s">
        <v>113</v>
      </c>
      <c r="F59" s="4" t="s">
        <v>94</v>
      </c>
      <c r="G59" s="8">
        <v>46321</v>
      </c>
      <c r="H59" s="8">
        <v>46325</v>
      </c>
      <c r="I59" s="7">
        <f t="shared" si="1"/>
        <v>5</v>
      </c>
      <c r="J59" s="4" t="s">
        <v>58</v>
      </c>
      <c r="K59" s="9" t="s">
        <v>191</v>
      </c>
      <c r="L59" s="4" t="s">
        <v>259</v>
      </c>
      <c r="M59" s="9"/>
      <c r="N59" s="6">
        <f>MAX(VLOOKUP("S4-10",$A$8:$P$63,8,FALSE))</f>
        <v>46318</v>
      </c>
      <c r="O59" s="4">
        <f>IF(COUNT(G59:H59)&lt;2,"Faltan fechas",MIN(H59-G59,VLOOKUP(B59,'Entregas y equipo'!$A$8:$D$13,4,FALSE)-H59,G59-N59))</f>
        <v>3</v>
      </c>
      <c r="P59" s="4" t="s">
        <v>260</v>
      </c>
    </row>
    <row r="60" spans="1:16" ht="70.05" customHeight="1">
      <c r="A60" s="4" t="s">
        <v>63</v>
      </c>
      <c r="B60" s="4" t="s">
        <v>250</v>
      </c>
      <c r="C60" s="4" t="s">
        <v>182</v>
      </c>
      <c r="D60" s="4" t="s">
        <v>261</v>
      </c>
      <c r="E60" s="4" t="s">
        <v>93</v>
      </c>
      <c r="F60" s="4" t="s">
        <v>94</v>
      </c>
      <c r="G60" s="8">
        <v>46325</v>
      </c>
      <c r="H60" s="8">
        <v>46329</v>
      </c>
      <c r="I60" s="7">
        <f t="shared" si="1"/>
        <v>5</v>
      </c>
      <c r="J60" s="4" t="s">
        <v>262</v>
      </c>
      <c r="K60" s="9" t="s">
        <v>191</v>
      </c>
      <c r="L60" s="4" t="s">
        <v>263</v>
      </c>
      <c r="M60" s="9"/>
      <c r="N60" s="6">
        <f>MAX(VLOOKUP("S5-01",$A$8:$P$63,8,FALSE),VLOOKUP("S5-02",$A$8:$P$63,8,FALSE),VLOOKUP("S5-03",$A$8:$P$63,8,FALSE))</f>
        <v>46324</v>
      </c>
      <c r="O60" s="4">
        <f>IF(COUNT(G60:H60)&lt;2,"Faltan fechas",MIN(H60-G60,VLOOKUP(B60,'Entregas y equipo'!$A$8:$D$13,4,FALSE)-H60,G60-N60))</f>
        <v>1</v>
      </c>
      <c r="P60" s="4" t="s">
        <v>264</v>
      </c>
    </row>
    <row r="61" spans="1:16" ht="70.05" customHeight="1">
      <c r="A61" s="4" t="s">
        <v>64</v>
      </c>
      <c r="B61" s="4" t="s">
        <v>250</v>
      </c>
      <c r="C61" s="4" t="s">
        <v>265</v>
      </c>
      <c r="D61" s="4" t="s">
        <v>266</v>
      </c>
      <c r="E61" s="4" t="s">
        <v>93</v>
      </c>
      <c r="F61" s="4" t="s">
        <v>94</v>
      </c>
      <c r="G61" s="8">
        <v>46329</v>
      </c>
      <c r="H61" s="8">
        <v>46330</v>
      </c>
      <c r="I61" s="7">
        <f t="shared" si="1"/>
        <v>2</v>
      </c>
      <c r="J61" s="4" t="s">
        <v>63</v>
      </c>
      <c r="K61" s="9" t="s">
        <v>191</v>
      </c>
      <c r="L61" s="4" t="s">
        <v>267</v>
      </c>
      <c r="M61" s="9"/>
      <c r="N61" s="6">
        <f>MAX(VLOOKUP("S5-05",$A$8:$P$63,8,FALSE))</f>
        <v>46329</v>
      </c>
      <c r="O61" s="4">
        <f>IF(COUNT(G61:H61)&lt;2,"Faltan fechas",MIN(H61-G61,VLOOKUP(B61,'Entregas y equipo'!$A$8:$D$13,4,FALSE)-H61,G61-N61))</f>
        <v>0</v>
      </c>
      <c r="P61" s="4" t="s">
        <v>268</v>
      </c>
    </row>
    <row r="62" spans="1:16" ht="70.05" customHeight="1">
      <c r="A62" s="4" t="s">
        <v>65</v>
      </c>
      <c r="B62" s="4" t="s">
        <v>250</v>
      </c>
      <c r="C62" s="4" t="s">
        <v>269</v>
      </c>
      <c r="D62" s="4" t="s">
        <v>270</v>
      </c>
      <c r="E62" s="4" t="s">
        <v>93</v>
      </c>
      <c r="F62" s="4" t="s">
        <v>94</v>
      </c>
      <c r="G62" s="8">
        <v>46331</v>
      </c>
      <c r="H62" s="8">
        <v>46331</v>
      </c>
      <c r="I62" s="7">
        <f t="shared" si="1"/>
        <v>1</v>
      </c>
      <c r="J62" s="4" t="s">
        <v>271</v>
      </c>
      <c r="K62" s="9" t="s">
        <v>191</v>
      </c>
      <c r="L62" s="4" t="s">
        <v>272</v>
      </c>
      <c r="M62" s="9"/>
      <c r="N62" s="6">
        <f>MAX(VLOOKUP("S5-04",$A$8:$P$63,8,FALSE),VLOOKUP("S5-06",$A$8:$P$63,8,FALSE))</f>
        <v>46330</v>
      </c>
      <c r="O62" s="4">
        <f>IF(COUNT(G62:H62)&lt;2,"Faltan fechas",MIN(H62-G62,VLOOKUP(B62,'Entregas y equipo'!$A$8:$D$13,4,FALSE)-H62,G62-N62))</f>
        <v>0</v>
      </c>
      <c r="P62" s="4" t="s">
        <v>115</v>
      </c>
    </row>
    <row r="63" spans="1:16" ht="70.05" customHeight="1">
      <c r="A63" s="4" t="s">
        <v>66</v>
      </c>
      <c r="B63" s="4" t="s">
        <v>250</v>
      </c>
      <c r="C63" s="4" t="s">
        <v>105</v>
      </c>
      <c r="D63" s="4" t="s">
        <v>273</v>
      </c>
      <c r="E63" s="4" t="s">
        <v>93</v>
      </c>
      <c r="F63" s="4" t="s">
        <v>94</v>
      </c>
      <c r="G63" s="8">
        <v>46332</v>
      </c>
      <c r="H63" s="8">
        <v>46332</v>
      </c>
      <c r="I63" s="7">
        <f t="shared" si="1"/>
        <v>1</v>
      </c>
      <c r="J63" s="4" t="s">
        <v>65</v>
      </c>
      <c r="K63" s="9" t="s">
        <v>191</v>
      </c>
      <c r="L63" s="4" t="s">
        <v>274</v>
      </c>
      <c r="M63" s="9"/>
      <c r="N63" s="6">
        <f>MAX(VLOOKUP("S5-07",$A$8:$P$63,8,FALSE))</f>
        <v>46331</v>
      </c>
      <c r="O63" s="4">
        <f>IF(COUNT(G63:H63)&lt;2,"Faltan fechas",MIN(H63-G63,VLOOKUP(B63,'Entregas y equipo'!$A$8:$D$13,4,FALSE)-H63,G63-N63))</f>
        <v>0</v>
      </c>
      <c r="P63" s="4" t="s">
        <v>275</v>
      </c>
    </row>
  </sheetData>
  <conditionalFormatting sqref="K8:K63">
    <cfRule type="containsText" dxfId="1" priority="2" operator="containsText" text="Bloqueada"/>
  </conditionalFormatting>
  <conditionalFormatting sqref="O8:O63">
    <cfRule type="cellIs" dxfId="0" priority="1" operator="lessThan">
      <formula>0</formula>
    </cfRule>
  </conditionalFormatting>
  <dataValidations count="2">
    <dataValidation type="list" sqref="K8:K63" xr:uid="{00000000-0002-0000-0200-000000000000}">
      <formula1>"Por confirmar,Base verificada,Pendiente,Planificada,En progreso,En revisión,Hecha,Bloqueada"</formula1>
    </dataValidation>
    <dataValidation type="list" sqref="E8:E63" xr:uid="{00000000-0002-0000-0200-000001000000}">
      <formula1>"Andy,Geovanny,Elden,Diego,Equipo"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5A44C"/>
  </sheetPr>
  <dimension ref="A1:I55"/>
  <sheetViews>
    <sheetView showGridLines="0" topLeftCell="A7" workbookViewId="0">
      <selection activeCell="I8" sqref="I8"/>
    </sheetView>
  </sheetViews>
  <sheetFormatPr baseColWidth="10" defaultColWidth="8.796875" defaultRowHeight="13.8"/>
  <cols>
    <col min="1" max="1" width="8.19921875" customWidth="1"/>
    <col min="2" max="2" width="34.69921875" customWidth="1"/>
    <col min="3" max="4" width="12.19921875" customWidth="1"/>
    <col min="5" max="5" width="12.3984375" customWidth="1"/>
    <col min="6" max="6" width="49.3984375" customWidth="1"/>
    <col min="7" max="7" width="19.59765625" customWidth="1"/>
    <col min="8" max="8" width="11.09765625" customWidth="1"/>
    <col min="9" max="9" width="12.3984375" customWidth="1"/>
  </cols>
  <sheetData>
    <row r="1" spans="1:9" ht="12" customHeight="1">
      <c r="A1" s="1"/>
      <c r="B1" s="1"/>
      <c r="C1" s="1"/>
      <c r="D1" s="1"/>
      <c r="E1" s="1"/>
      <c r="F1" s="1"/>
      <c r="G1" s="1"/>
      <c r="H1" s="1"/>
      <c r="I1" s="1"/>
    </row>
    <row r="2" spans="1:9" ht="30" customHeight="1">
      <c r="A2" s="2" t="s">
        <v>276</v>
      </c>
      <c r="B2" s="1"/>
      <c r="C2" s="1"/>
      <c r="D2" s="1"/>
      <c r="E2" s="1"/>
      <c r="F2" s="1"/>
      <c r="G2" s="1"/>
      <c r="H2" s="1"/>
      <c r="I2" s="1"/>
    </row>
    <row r="3" spans="1:9" ht="25.05" customHeight="1">
      <c r="A3" s="3" t="s">
        <v>277</v>
      </c>
      <c r="B3" s="1"/>
      <c r="C3" s="10">
        <v>46288</v>
      </c>
      <c r="D3" s="1"/>
      <c r="E3" s="1"/>
      <c r="F3" s="1"/>
      <c r="G3" s="1"/>
      <c r="H3" s="1"/>
      <c r="I3" s="1"/>
    </row>
    <row r="4" spans="1:9" ht="25.05" customHeight="1">
      <c r="A4" s="3" t="s">
        <v>278</v>
      </c>
      <c r="B4" s="1"/>
      <c r="C4" s="1"/>
      <c r="D4" s="1"/>
      <c r="E4" s="1"/>
      <c r="F4" s="1"/>
      <c r="G4" s="1"/>
      <c r="H4" s="1"/>
      <c r="I4" s="1"/>
    </row>
    <row r="5" spans="1:9" ht="25.05" customHeight="1">
      <c r="A5" s="3" t="s">
        <v>279</v>
      </c>
      <c r="B5" s="1"/>
      <c r="C5" s="1"/>
      <c r="D5" s="1"/>
      <c r="E5" s="1"/>
      <c r="F5" s="1"/>
      <c r="G5" s="1"/>
      <c r="H5" s="1"/>
      <c r="I5" s="1"/>
    </row>
    <row r="6" spans="1:9" ht="25.05" customHeight="1">
      <c r="A6" s="1"/>
      <c r="B6" s="1"/>
      <c r="C6" s="1"/>
      <c r="D6" s="1"/>
      <c r="E6" s="1"/>
      <c r="F6" s="1"/>
      <c r="G6" s="1"/>
      <c r="H6" s="1"/>
      <c r="I6" s="1"/>
    </row>
    <row r="7" spans="1:9" ht="43.95" customHeight="1">
      <c r="A7" s="5" t="s">
        <v>78</v>
      </c>
      <c r="B7" s="5" t="s">
        <v>105</v>
      </c>
      <c r="C7" s="5" t="s">
        <v>280</v>
      </c>
      <c r="D7" s="5" t="s">
        <v>281</v>
      </c>
      <c r="E7" s="5" t="s">
        <v>282</v>
      </c>
      <c r="F7" s="5" t="s">
        <v>283</v>
      </c>
      <c r="G7" s="5" t="s">
        <v>284</v>
      </c>
      <c r="H7" s="5" t="s">
        <v>285</v>
      </c>
      <c r="I7" s="5" t="s">
        <v>286</v>
      </c>
    </row>
    <row r="8" spans="1:9" ht="76.05" customHeight="1">
      <c r="A8" s="12" t="s">
        <v>90</v>
      </c>
      <c r="B8" s="12" t="s">
        <v>287</v>
      </c>
      <c r="C8" s="13">
        <v>46258</v>
      </c>
      <c r="D8" s="13">
        <v>46262</v>
      </c>
      <c r="E8" s="14"/>
      <c r="F8" s="12" t="s">
        <v>288</v>
      </c>
      <c r="G8" s="12" t="s">
        <v>289</v>
      </c>
      <c r="H8" s="12">
        <f>COUNTIFS(Tareas!$B$8:$B$63,A8)</f>
        <v>4</v>
      </c>
      <c r="I8" s="12">
        <f>COUNTIFS(Tareas!$B$8:$B$63,A8,Tareas!$K$8:$K$63,"Hecha",Tareas!$M$8:$M$63,"&lt;&gt;")</f>
        <v>0</v>
      </c>
    </row>
    <row r="9" spans="1:9" ht="76.05" customHeight="1">
      <c r="A9" s="4" t="s">
        <v>109</v>
      </c>
      <c r="B9" s="4" t="s">
        <v>290</v>
      </c>
      <c r="C9" s="6">
        <v>46263</v>
      </c>
      <c r="D9" s="6">
        <v>46276</v>
      </c>
      <c r="E9" s="11"/>
      <c r="F9" s="4" t="s">
        <v>291</v>
      </c>
      <c r="G9" s="4" t="s">
        <v>289</v>
      </c>
      <c r="H9" s="4">
        <f>COUNTIFS(Tareas!$B$8:$B$63,A9)</f>
        <v>6</v>
      </c>
      <c r="I9" s="4">
        <f>COUNTIFS(Tareas!$B$8:$B$63,A9,Tareas!$K$8:$K$63,"Hecha",Tareas!$M$8:$M$63,"&lt;&gt;")</f>
        <v>0</v>
      </c>
    </row>
    <row r="10" spans="1:9" ht="76.05" customHeight="1">
      <c r="A10" s="12" t="s">
        <v>131</v>
      </c>
      <c r="B10" s="12" t="s">
        <v>292</v>
      </c>
      <c r="C10" s="13">
        <v>46277</v>
      </c>
      <c r="D10" s="13">
        <v>46290</v>
      </c>
      <c r="E10" s="14">
        <v>0.3</v>
      </c>
      <c r="F10" s="12" t="s">
        <v>293</v>
      </c>
      <c r="G10" s="12" t="s">
        <v>289</v>
      </c>
      <c r="H10" s="12">
        <f>COUNTIFS(Tareas!$B$8:$B$63,A10)</f>
        <v>16</v>
      </c>
      <c r="I10" s="12">
        <f>COUNTIFS(Tareas!$B$8:$B$63,A10,Tareas!$K$8:$K$63,"Hecha",Tareas!$M$8:$M$63,"&lt;&gt;")</f>
        <v>0</v>
      </c>
    </row>
    <row r="11" spans="1:9" ht="76.05" customHeight="1">
      <c r="A11" s="4" t="s">
        <v>189</v>
      </c>
      <c r="B11" s="4" t="s">
        <v>294</v>
      </c>
      <c r="C11" s="6">
        <v>46291</v>
      </c>
      <c r="D11" s="6">
        <v>46304</v>
      </c>
      <c r="E11" s="11">
        <v>0.5</v>
      </c>
      <c r="F11" s="4" t="s">
        <v>295</v>
      </c>
      <c r="G11" s="4" t="s">
        <v>289</v>
      </c>
      <c r="H11" s="4">
        <f>COUNTIFS(Tareas!$B$8:$B$63,A11)</f>
        <v>12</v>
      </c>
      <c r="I11" s="4">
        <f>COUNTIFS(Tareas!$B$8:$B$63,A11,Tareas!$K$8:$K$63,"Hecha",Tareas!$M$8:$M$63,"&lt;&gt;")</f>
        <v>0</v>
      </c>
    </row>
    <row r="12" spans="1:9" ht="76.05" customHeight="1">
      <c r="A12" s="12" t="s">
        <v>223</v>
      </c>
      <c r="B12" s="12" t="s">
        <v>296</v>
      </c>
      <c r="C12" s="13">
        <v>46305</v>
      </c>
      <c r="D12" s="13">
        <v>46318</v>
      </c>
      <c r="E12" s="14">
        <v>0.8</v>
      </c>
      <c r="F12" s="12" t="s">
        <v>297</v>
      </c>
      <c r="G12" s="12" t="s">
        <v>289</v>
      </c>
      <c r="H12" s="12">
        <f>COUNTIFS(Tareas!$B$8:$B$63,A12)</f>
        <v>10</v>
      </c>
      <c r="I12" s="12">
        <f>COUNTIFS(Tareas!$B$8:$B$63,A12,Tareas!$K$8:$K$63,"Hecha",Tareas!$M$8:$M$63,"&lt;&gt;")</f>
        <v>0</v>
      </c>
    </row>
    <row r="13" spans="1:9" ht="76.05" customHeight="1">
      <c r="A13" s="4" t="s">
        <v>250</v>
      </c>
      <c r="B13" s="4" t="s">
        <v>298</v>
      </c>
      <c r="C13" s="6">
        <v>46319</v>
      </c>
      <c r="D13" s="8">
        <v>46332</v>
      </c>
      <c r="E13" s="11">
        <v>1</v>
      </c>
      <c r="F13" s="4" t="s">
        <v>299</v>
      </c>
      <c r="G13" s="4" t="s">
        <v>300</v>
      </c>
      <c r="H13" s="4">
        <f>COUNTIFS(Tareas!$B$8:$B$63,A13)</f>
        <v>8</v>
      </c>
      <c r="I13" s="4">
        <f>COUNTIFS(Tareas!$B$8:$B$63,A13,Tareas!$K$8:$K$63,"Hecha",Tareas!$M$8:$M$63,"&lt;&gt;")</f>
        <v>0</v>
      </c>
    </row>
    <row r="14" spans="1:9" ht="25.05" customHeight="1">
      <c r="A14" s="1"/>
      <c r="B14" s="1"/>
      <c r="C14" s="1"/>
      <c r="D14" s="1"/>
      <c r="E14" s="1"/>
      <c r="F14" s="1"/>
      <c r="G14" s="1"/>
      <c r="H14" s="1"/>
      <c r="I14" s="1"/>
    </row>
    <row r="15" spans="1:9" ht="25.05" customHeight="1">
      <c r="A15" s="15" t="s">
        <v>301</v>
      </c>
      <c r="B15" s="1"/>
      <c r="C15" s="1"/>
      <c r="D15" s="1"/>
      <c r="E15" s="1"/>
      <c r="F15" s="1"/>
      <c r="G15" s="1"/>
      <c r="H15" s="1"/>
      <c r="I15" s="1"/>
    </row>
    <row r="16" spans="1:9" ht="25.05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34.049999999999997" customHeight="1">
      <c r="A17" s="5" t="s">
        <v>302</v>
      </c>
      <c r="B17" s="5" t="s">
        <v>303</v>
      </c>
      <c r="C17" s="5" t="s">
        <v>304</v>
      </c>
      <c r="D17" s="5" t="s">
        <v>305</v>
      </c>
      <c r="E17" s="5" t="s">
        <v>306</v>
      </c>
      <c r="F17" s="5" t="s">
        <v>307</v>
      </c>
      <c r="G17" s="1"/>
      <c r="H17" s="1"/>
      <c r="I17" s="1"/>
    </row>
    <row r="18" spans="1:9" ht="60" customHeight="1">
      <c r="A18" s="4" t="s">
        <v>112</v>
      </c>
      <c r="B18" s="4" t="s">
        <v>308</v>
      </c>
      <c r="C18" s="4" t="s">
        <v>309</v>
      </c>
      <c r="D18" s="4" t="s">
        <v>310</v>
      </c>
      <c r="E18" s="4">
        <f>COUNTIFS(Tareas!$E$8:$E$63,A18)</f>
        <v>8</v>
      </c>
      <c r="F18" s="4" t="s">
        <v>311</v>
      </c>
      <c r="G18" s="1"/>
      <c r="H18" s="1"/>
      <c r="I18" s="1"/>
    </row>
    <row r="19" spans="1:9" ht="60" customHeight="1">
      <c r="A19" s="4" t="s">
        <v>117</v>
      </c>
      <c r="B19" s="4" t="s">
        <v>312</v>
      </c>
      <c r="C19" s="4" t="s">
        <v>313</v>
      </c>
      <c r="D19" s="4" t="s">
        <v>154</v>
      </c>
      <c r="E19" s="4">
        <f>COUNTIFS(Tareas!$E$8:$E$63,A19)</f>
        <v>13</v>
      </c>
      <c r="F19" s="4" t="s">
        <v>314</v>
      </c>
      <c r="G19" s="1"/>
      <c r="H19" s="1"/>
      <c r="I19" s="1"/>
    </row>
    <row r="20" spans="1:9" ht="60" customHeight="1">
      <c r="A20" s="4" t="s">
        <v>120</v>
      </c>
      <c r="B20" s="4" t="s">
        <v>315</v>
      </c>
      <c r="C20" s="4" t="s">
        <v>316</v>
      </c>
      <c r="D20" s="4" t="s">
        <v>317</v>
      </c>
      <c r="E20" s="4">
        <f>COUNTIFS(Tareas!$E$8:$E$63,A20)</f>
        <v>9</v>
      </c>
      <c r="F20" s="4" t="s">
        <v>318</v>
      </c>
      <c r="G20" s="1"/>
      <c r="H20" s="1"/>
      <c r="I20" s="1"/>
    </row>
    <row r="21" spans="1:9" ht="60" customHeight="1">
      <c r="A21" s="4" t="s">
        <v>113</v>
      </c>
      <c r="B21" s="4" t="s">
        <v>319</v>
      </c>
      <c r="C21" s="4" t="s">
        <v>320</v>
      </c>
      <c r="D21" s="4" t="s">
        <v>166</v>
      </c>
      <c r="E21" s="4">
        <f>COUNTIFS(Tareas!$E$8:$E$63,A21)</f>
        <v>8</v>
      </c>
      <c r="F21" s="4" t="s">
        <v>321</v>
      </c>
      <c r="G21" s="1"/>
      <c r="H21" s="1"/>
      <c r="I21" s="1"/>
    </row>
    <row r="22" spans="1:9" ht="25.05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25.05" customHeight="1">
      <c r="A23" s="15" t="s">
        <v>322</v>
      </c>
      <c r="B23" s="1"/>
      <c r="C23" s="1"/>
      <c r="D23" s="1"/>
      <c r="E23" s="1"/>
      <c r="F23" s="1"/>
      <c r="G23" s="1"/>
      <c r="H23" s="1"/>
      <c r="I23" s="1"/>
    </row>
    <row r="24" spans="1:9" ht="25.05" customHeight="1">
      <c r="A24" s="1"/>
      <c r="B24" s="1"/>
      <c r="C24" s="1"/>
      <c r="D24" s="1"/>
      <c r="E24" s="1"/>
      <c r="F24" s="1"/>
      <c r="G24" s="1"/>
      <c r="H24" s="1"/>
      <c r="I24" s="1"/>
    </row>
    <row r="25" spans="1:9" ht="25.05" customHeight="1">
      <c r="A25" s="3" t="s">
        <v>323</v>
      </c>
      <c r="B25" s="1"/>
      <c r="C25" s="1"/>
      <c r="D25" s="1"/>
      <c r="E25" s="1"/>
      <c r="F25" s="1"/>
      <c r="G25" s="1"/>
      <c r="H25" s="1"/>
      <c r="I25" s="1"/>
    </row>
    <row r="26" spans="1:9" ht="25.05" customHeight="1">
      <c r="A26" s="3" t="s">
        <v>324</v>
      </c>
      <c r="B26" s="1"/>
      <c r="C26" s="1"/>
      <c r="D26" s="1"/>
      <c r="E26" s="1"/>
      <c r="F26" s="1"/>
      <c r="G26" s="1"/>
      <c r="H26" s="1"/>
      <c r="I26" s="1"/>
    </row>
    <row r="27" spans="1:9" ht="25.05" customHeight="1">
      <c r="A27" s="3" t="s">
        <v>325</v>
      </c>
      <c r="B27" s="1"/>
      <c r="C27" s="1"/>
      <c r="D27" s="1"/>
      <c r="E27" s="1"/>
      <c r="F27" s="1"/>
      <c r="G27" s="1"/>
      <c r="H27" s="1"/>
      <c r="I27" s="1"/>
    </row>
    <row r="28" spans="1:9" ht="25.05" customHeight="1">
      <c r="A28" s="3" t="s">
        <v>326</v>
      </c>
      <c r="B28" s="1"/>
      <c r="C28" s="1"/>
      <c r="D28" s="1"/>
      <c r="E28" s="1"/>
      <c r="F28" s="1"/>
      <c r="G28" s="1"/>
      <c r="H28" s="1"/>
      <c r="I28" s="1"/>
    </row>
    <row r="29" spans="1:9" ht="25.05" customHeight="1">
      <c r="A29" s="3" t="s">
        <v>327</v>
      </c>
      <c r="B29" s="1"/>
      <c r="C29" s="1"/>
      <c r="D29" s="1"/>
      <c r="E29" s="1"/>
      <c r="F29" s="1"/>
      <c r="G29" s="1"/>
      <c r="H29" s="1"/>
      <c r="I29" s="1"/>
    </row>
    <row r="30" spans="1:9" ht="25.05" customHeight="1">
      <c r="A30" s="3" t="s">
        <v>328</v>
      </c>
      <c r="B30" s="1"/>
      <c r="C30" s="1"/>
      <c r="D30" s="1"/>
      <c r="E30" s="1"/>
      <c r="F30" s="1"/>
      <c r="G30" s="1"/>
      <c r="H30" s="1"/>
      <c r="I30" s="1"/>
    </row>
    <row r="31" spans="1:9" ht="25.05" customHeight="1">
      <c r="A31" s="3" t="s">
        <v>329</v>
      </c>
      <c r="B31" s="1"/>
      <c r="C31" s="1"/>
      <c r="D31" s="1"/>
      <c r="E31" s="1"/>
      <c r="F31" s="1"/>
      <c r="G31" s="1"/>
      <c r="H31" s="1"/>
      <c r="I31" s="1"/>
    </row>
    <row r="32" spans="1:9" ht="25.05" customHeight="1">
      <c r="A32" s="3" t="s">
        <v>330</v>
      </c>
      <c r="B32" s="1"/>
      <c r="C32" s="1"/>
      <c r="D32" s="1"/>
      <c r="E32" s="1"/>
      <c r="F32" s="1"/>
      <c r="G32" s="1"/>
      <c r="H32" s="1"/>
      <c r="I32" s="1"/>
    </row>
    <row r="33" spans="1:9" ht="25.05" customHeight="1">
      <c r="A33" s="3" t="s">
        <v>331</v>
      </c>
      <c r="B33" s="1"/>
      <c r="C33" s="1"/>
      <c r="D33" s="1"/>
      <c r="E33" s="1"/>
      <c r="F33" s="1"/>
      <c r="G33" s="1"/>
      <c r="H33" s="1"/>
      <c r="I33" s="1"/>
    </row>
    <row r="34" spans="1:9" ht="25.05" customHeight="1">
      <c r="A34" s="3" t="s">
        <v>332</v>
      </c>
      <c r="B34" s="1"/>
      <c r="C34" s="1"/>
      <c r="D34" s="1"/>
      <c r="E34" s="1"/>
      <c r="F34" s="1"/>
      <c r="G34" s="1"/>
      <c r="H34" s="1"/>
      <c r="I34" s="1"/>
    </row>
    <row r="35" spans="1:9" ht="25.05" customHeight="1">
      <c r="A35" s="3" t="s">
        <v>333</v>
      </c>
      <c r="B35" s="1"/>
      <c r="C35" s="1"/>
      <c r="D35" s="1"/>
      <c r="E35" s="1"/>
      <c r="F35" s="1"/>
      <c r="G35" s="1"/>
      <c r="H35" s="1"/>
      <c r="I35" s="1"/>
    </row>
    <row r="36" spans="1:9" ht="25.05" customHeight="1">
      <c r="A36" s="1"/>
      <c r="B36" s="1"/>
      <c r="C36" s="1"/>
      <c r="D36" s="1"/>
      <c r="E36" s="1"/>
      <c r="F36" s="1"/>
      <c r="G36" s="1"/>
      <c r="H36" s="1"/>
      <c r="I36" s="1"/>
    </row>
    <row r="37" spans="1:9" ht="25.05" customHeight="1">
      <c r="A37" s="1"/>
      <c r="B37" s="1"/>
      <c r="C37" s="1"/>
      <c r="D37" s="1"/>
      <c r="E37" s="1"/>
      <c r="F37" s="1"/>
      <c r="G37" s="1"/>
      <c r="H37" s="1"/>
      <c r="I37" s="1"/>
    </row>
    <row r="38" spans="1:9" ht="25.05" customHeight="1">
      <c r="A38" s="15" t="s">
        <v>334</v>
      </c>
      <c r="B38" s="1"/>
      <c r="C38" s="1"/>
      <c r="D38" s="1"/>
      <c r="E38" s="1"/>
      <c r="F38" s="1"/>
      <c r="G38" s="1"/>
      <c r="H38" s="1"/>
      <c r="I38" s="1"/>
    </row>
    <row r="39" spans="1:9" ht="25.05" customHeight="1">
      <c r="A39" s="1"/>
      <c r="B39" s="1"/>
      <c r="C39" s="1"/>
      <c r="D39" s="1"/>
      <c r="E39" s="1"/>
      <c r="F39" s="1"/>
      <c r="G39" s="1"/>
      <c r="H39" s="1"/>
      <c r="I39" s="1"/>
    </row>
    <row r="40" spans="1:9" ht="25.05" customHeight="1">
      <c r="A40" s="1" t="s">
        <v>98</v>
      </c>
      <c r="B40" s="1" t="s">
        <v>335</v>
      </c>
      <c r="C40" s="1"/>
      <c r="D40" s="1"/>
      <c r="E40" s="1"/>
      <c r="F40" s="1"/>
      <c r="G40" s="1"/>
      <c r="H40" s="1"/>
      <c r="I40" s="1"/>
    </row>
    <row r="41" spans="1:9" ht="25.05" customHeight="1">
      <c r="A41" s="1" t="s">
        <v>336</v>
      </c>
      <c r="B41" s="1" t="s">
        <v>337</v>
      </c>
      <c r="C41" s="1"/>
      <c r="D41" s="1"/>
      <c r="E41" s="1"/>
      <c r="F41" s="1"/>
      <c r="G41" s="1"/>
      <c r="H41" s="1"/>
      <c r="I41" s="1"/>
    </row>
    <row r="42" spans="1:9" ht="25.05" customHeight="1">
      <c r="A42" s="1" t="s">
        <v>173</v>
      </c>
      <c r="B42" s="1" t="s">
        <v>338</v>
      </c>
      <c r="C42" s="1"/>
      <c r="D42" s="1"/>
      <c r="E42" s="1"/>
      <c r="F42" s="1"/>
      <c r="G42" s="1"/>
      <c r="H42" s="1"/>
      <c r="I42" s="1"/>
    </row>
    <row r="43" spans="1:9" ht="25.05" customHeight="1">
      <c r="A43" s="1" t="s">
        <v>181</v>
      </c>
      <c r="B43" s="1" t="s">
        <v>339</v>
      </c>
      <c r="C43" s="1"/>
      <c r="D43" s="1"/>
      <c r="E43" s="1"/>
      <c r="F43" s="1"/>
      <c r="G43" s="1"/>
      <c r="H43" s="1"/>
      <c r="I43" s="1"/>
    </row>
    <row r="44" spans="1:9" ht="25.05" customHeight="1">
      <c r="A44" s="1" t="s">
        <v>340</v>
      </c>
      <c r="B44" s="1" t="s">
        <v>341</v>
      </c>
      <c r="C44" s="1"/>
      <c r="D44" s="1"/>
      <c r="E44" s="1"/>
      <c r="F44" s="1"/>
      <c r="G44" s="1"/>
      <c r="H44" s="1"/>
      <c r="I44" s="1"/>
    </row>
    <row r="45" spans="1:9" ht="25.05" customHeight="1">
      <c r="A45" s="1" t="s">
        <v>342</v>
      </c>
      <c r="B45" s="1" t="s">
        <v>343</v>
      </c>
      <c r="C45" s="1"/>
      <c r="D45" s="1"/>
      <c r="E45" s="1"/>
      <c r="F45" s="1"/>
      <c r="G45" s="1"/>
      <c r="H45" s="1"/>
      <c r="I45" s="1"/>
    </row>
    <row r="46" spans="1:9" ht="25.05" customHeight="1">
      <c r="A46" s="1" t="s">
        <v>344</v>
      </c>
      <c r="B46" s="1" t="s">
        <v>345</v>
      </c>
      <c r="C46" s="1"/>
      <c r="D46" s="1"/>
      <c r="E46" s="1"/>
      <c r="F46" s="1"/>
      <c r="G46" s="1"/>
      <c r="H46" s="1"/>
      <c r="I46" s="1"/>
    </row>
    <row r="47" spans="1:9" ht="25.05" customHeight="1">
      <c r="A47" s="1" t="s">
        <v>346</v>
      </c>
      <c r="B47" s="1" t="s">
        <v>347</v>
      </c>
      <c r="C47" s="1"/>
      <c r="D47" s="1"/>
      <c r="E47" s="1"/>
      <c r="F47" s="1"/>
      <c r="G47" s="1"/>
      <c r="H47" s="1"/>
      <c r="I47" s="1"/>
    </row>
    <row r="48" spans="1:9" ht="25.05" customHeight="1">
      <c r="A48" s="1" t="s">
        <v>348</v>
      </c>
      <c r="B48" s="1" t="s">
        <v>349</v>
      </c>
      <c r="C48" s="1"/>
      <c r="D48" s="1"/>
      <c r="E48" s="1"/>
      <c r="F48" s="1"/>
      <c r="G48" s="1"/>
      <c r="H48" s="1"/>
      <c r="I48" s="1"/>
    </row>
    <row r="49" spans="1:9" ht="25.05" customHeight="1">
      <c r="A49" s="1" t="s">
        <v>350</v>
      </c>
      <c r="B49" s="1" t="s">
        <v>351</v>
      </c>
      <c r="C49" s="1"/>
      <c r="D49" s="1"/>
      <c r="E49" s="1"/>
      <c r="F49" s="1"/>
      <c r="G49" s="1"/>
      <c r="H49" s="1"/>
      <c r="I49" s="1"/>
    </row>
    <row r="50" spans="1:9" ht="25.05" customHeight="1">
      <c r="A50" s="1"/>
      <c r="B50" s="1"/>
      <c r="C50" s="1"/>
      <c r="D50" s="1"/>
      <c r="E50" s="1"/>
      <c r="F50" s="1"/>
      <c r="G50" s="1"/>
      <c r="H50" s="1"/>
      <c r="I50" s="1"/>
    </row>
    <row r="51" spans="1:9" ht="25.05" customHeight="1">
      <c r="A51" s="1"/>
      <c r="B51" s="1"/>
      <c r="C51" s="1"/>
      <c r="D51" s="1"/>
      <c r="E51" s="1"/>
      <c r="F51" s="1"/>
      <c r="G51" s="1"/>
      <c r="H51" s="1"/>
      <c r="I51" s="1"/>
    </row>
    <row r="52" spans="1:9" ht="25.05" customHeight="1">
      <c r="A52" s="1"/>
      <c r="B52" s="1"/>
      <c r="C52" s="1"/>
      <c r="D52" s="1"/>
      <c r="E52" s="1"/>
      <c r="F52" s="1"/>
      <c r="G52" s="1"/>
      <c r="H52" s="1"/>
      <c r="I52" s="1"/>
    </row>
    <row r="53" spans="1:9" ht="25.0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ht="25.05" customHeight="1">
      <c r="A54" s="1"/>
      <c r="B54" s="1"/>
      <c r="C54" s="1"/>
      <c r="D54" s="1"/>
      <c r="E54" s="1"/>
      <c r="F54" s="1"/>
      <c r="G54" s="1"/>
      <c r="H54" s="1"/>
      <c r="I54" s="1"/>
    </row>
    <row r="55" spans="1:9" ht="25.05" customHeight="1">
      <c r="A55" s="1"/>
      <c r="B55" s="1"/>
      <c r="C55" s="1"/>
      <c r="D55" s="1"/>
      <c r="E55" s="1"/>
      <c r="F55" s="1"/>
      <c r="G55" s="1"/>
      <c r="H55" s="1"/>
      <c r="I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Gantt</vt:lpstr>
      <vt:lpstr>Detalle 30%</vt:lpstr>
      <vt:lpstr>Tareas</vt:lpstr>
      <vt:lpstr>Entregas y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Geovanny Alcon</cp:lastModifiedBy>
  <dcterms:modified xsi:type="dcterms:W3CDTF">2026-09-23T23:08:42Z</dcterms:modified>
</cp:coreProperties>
</file>